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jticorp-my.sharepoint.com/personal/cstoneils2_corp_jti_com/Documents/Desktop/"/>
    </mc:Choice>
  </mc:AlternateContent>
  <xr:revisionPtr revIDLastSave="0" documentId="8_{EDDA8206-9304-4B75-9E86-FF27038D2053}" xr6:coauthVersionLast="41" xr6:coauthVersionMax="41" xr10:uidLastSave="{00000000-0000-0000-0000-000000000000}"/>
  <bookViews>
    <workbookView xWindow="0" yWindow="430" windowWidth="19200" windowHeight="9770" activeTab="1" xr2:uid="{00000000-000D-0000-FFFF-FFFF00000000}"/>
  </bookViews>
  <sheets>
    <sheet name="Instruction" sheetId="3" r:id="rId1"/>
    <sheet name="Input" sheetId="1" r:id="rId2"/>
    <sheet name="Sheet1" sheetId="5" state="hidden" r:id="rId3"/>
    <sheet name="Master-items" sheetId="2" state="hidden" r:id="rId4"/>
    <sheet name="Master-markets" sheetId="4" state="hidden" r:id="rId5"/>
  </sheets>
  <definedNames>
    <definedName name="Americas">'Master-markets'!$I$4:$I$20</definedName>
    <definedName name="Asia_Pacific">'Master-markets'!$H$4:$H$21</definedName>
    <definedName name="E_Europe">'Master-markets'!$G$4:$G$34</definedName>
    <definedName name="Factory_Market">'Master-markets'!$F$4:$F$32</definedName>
    <definedName name="Global_Functions">'Master-markets'!$E$4:$E$15</definedName>
    <definedName name="MENEAT">'Master-markets'!$D$4:$D$55</definedName>
    <definedName name="Region">'Master-markets'!$C$3:$I$3</definedName>
    <definedName name="W_Europe">'Master-markets'!$C$4:$C$35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6" i="1" l="1"/>
</calcChain>
</file>

<file path=xl/sharedStrings.xml><?xml version="1.0" encoding="utf-8"?>
<sst xmlns="http://schemas.openxmlformats.org/spreadsheetml/2006/main" count="282" uniqueCount="253">
  <si>
    <t>No</t>
  </si>
  <si>
    <t>Albania</t>
  </si>
  <si>
    <t>Algeria</t>
  </si>
  <si>
    <t>Americas Mgmt Costs</t>
  </si>
  <si>
    <t>Andorra</t>
  </si>
  <si>
    <t>Angola</t>
  </si>
  <si>
    <t>Argentina</t>
  </si>
  <si>
    <t>Armenia</t>
  </si>
  <si>
    <t>Asia Pacific Historic</t>
  </si>
  <si>
    <t>Asia Pacific Mgmt Co</t>
  </si>
  <si>
    <t>Australia</t>
  </si>
  <si>
    <t>Austria</t>
  </si>
  <si>
    <t>Azerbaijan</t>
  </si>
  <si>
    <t>Bahrain</t>
  </si>
  <si>
    <t>Baltic Mgmt Costs</t>
  </si>
  <si>
    <t>Bangladesh</t>
  </si>
  <si>
    <t>Belarus</t>
  </si>
  <si>
    <t>Belgium</t>
  </si>
  <si>
    <t>Bolivia</t>
  </si>
  <si>
    <t>Bosnia &amp; Hercegovina</t>
  </si>
  <si>
    <t>Brazil</t>
  </si>
  <si>
    <t>Brazil Distribution</t>
  </si>
  <si>
    <t>Bulgaria</t>
  </si>
  <si>
    <t>Burkina Faso</t>
  </si>
  <si>
    <t>CIS+ Distribution</t>
  </si>
  <si>
    <t>Cambodia</t>
  </si>
  <si>
    <t>Cameroon</t>
  </si>
  <si>
    <t>Canada</t>
  </si>
  <si>
    <t>Canary Islands</t>
  </si>
  <si>
    <t>Caribbean Inland</t>
  </si>
  <si>
    <t>Central America Mgmt</t>
  </si>
  <si>
    <t>Colombia</t>
  </si>
  <si>
    <t>Croatia</t>
  </si>
  <si>
    <t>Cyprus</t>
  </si>
  <si>
    <t>Czech Republic</t>
  </si>
  <si>
    <t>DR Congo</t>
  </si>
  <si>
    <t>Denmark</t>
  </si>
  <si>
    <t>Dominican Republic</t>
  </si>
  <si>
    <t>Donskoy Tabak</t>
  </si>
  <si>
    <t>Donskoy Tabak Export</t>
  </si>
  <si>
    <t>EAC Overhead</t>
  </si>
  <si>
    <t>EE Mgmt Costs</t>
  </si>
  <si>
    <t>Egypt</t>
  </si>
  <si>
    <t>Emerging and Developing Mgmt Costs</t>
  </si>
  <si>
    <t>Equatorial Guinea</t>
  </si>
  <si>
    <t>Estonia</t>
  </si>
  <si>
    <t>Ethiopia</t>
  </si>
  <si>
    <t>Finland</t>
  </si>
  <si>
    <t>France</t>
  </si>
  <si>
    <t>French West Indies</t>
  </si>
  <si>
    <t>GCC Mgmt Cost</t>
  </si>
  <si>
    <t>Gambia</t>
  </si>
  <si>
    <t>Georgia</t>
  </si>
  <si>
    <t>Germany</t>
  </si>
  <si>
    <t>Gibraltar</t>
  </si>
  <si>
    <t>Greece</t>
  </si>
  <si>
    <t>Guatemala</t>
  </si>
  <si>
    <t>Guinea</t>
  </si>
  <si>
    <t>Guinea-Bissau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</si>
  <si>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</si>
  <si>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</si>
  <si>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</si>
  <si>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</si>
  <si>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</si>
  <si>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</si>
  <si>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</si>
  <si>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</si>
  <si>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</si>
  <si>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</si>
  <si>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Jordan</t>
  </si>
  <si>
    <t>Kazakhstan</t>
  </si>
  <si>
    <t>Korea</t>
  </si>
  <si>
    <t>Kosovo</t>
  </si>
  <si>
    <t>Kuwait</t>
  </si>
  <si>
    <t>Kyrgyzstan</t>
  </si>
  <si>
    <t>L&amp;T Distribution</t>
  </si>
  <si>
    <t>La Reunion</t>
  </si>
  <si>
    <t>Laos</t>
  </si>
  <si>
    <t>Latvia</t>
  </si>
  <si>
    <t>Lebanon</t>
  </si>
  <si>
    <t>Liberia</t>
  </si>
  <si>
    <t>Lithuania</t>
  </si>
  <si>
    <t>Luxembourg</t>
  </si>
  <si>
    <t>MENEAT Mgmt Costs</t>
  </si>
  <si>
    <t>Macedonia</t>
  </si>
  <si>
    <t>Malaysia</t>
  </si>
  <si>
    <t>Malta</t>
  </si>
  <si>
    <t>Mauritania</t>
  </si>
  <si>
    <t>Mauritius</t>
  </si>
  <si>
    <t>Mayotte</t>
  </si>
  <si>
    <t>Mexico</t>
  </si>
  <si>
    <t>Mgmt Costs Adriatica</t>
  </si>
  <si>
    <t>Middle East MgmtCost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</si>
  <si>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</si>
  <si>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</si>
  <si>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</si>
  <si>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</si>
  <si>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</si>
  <si>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</si>
  <si>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</si>
  <si>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</si>
  <si>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</si>
  <si>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Nicaragua</t>
  </si>
  <si>
    <t>Nigeria</t>
  </si>
  <si>
    <t>North Africa MgmtC</t>
  </si>
  <si>
    <t>North Sudan</t>
  </si>
  <si>
    <t>Norway</t>
  </si>
  <si>
    <t>Oman</t>
  </si>
  <si>
    <t>Palestine</t>
  </si>
  <si>
    <t>Peru</t>
  </si>
  <si>
    <t>Philippines</t>
  </si>
  <si>
    <t>Poland</t>
  </si>
  <si>
    <t>Portugal</t>
  </si>
  <si>
    <t>Qatar</t>
  </si>
  <si>
    <t>Romania</t>
  </si>
  <si>
    <t>Russia</t>
  </si>
  <si>
    <t>SAW Mgmt Cost</t>
  </si>
  <si>
    <t>SEA Mgmt Costs</t>
  </si>
  <si>
    <t>Saudi Arabia</t>
  </si>
  <si>
    <t>Serbia</t>
  </si>
  <si>
    <t>Shisha International</t>
  </si>
  <si>
    <t>Sierra Leone</t>
  </si>
  <si>
    <t>Singapore</t>
  </si>
  <si>
    <t>Slovakia</t>
  </si>
  <si>
    <t>Slovenia</t>
  </si>
  <si>
    <t>South Africa</t>
  </si>
  <si>
    <t>South Sudan</t>
  </si>
  <si>
    <t>Southern Africa Management Costs</t>
  </si>
  <si>
    <t>Spain</t>
  </si>
  <si>
    <t>State of Libya</t>
  </si>
  <si>
    <t>Sweden</t>
  </si>
  <si>
    <t>Switzerland</t>
  </si>
  <si>
    <t>TOBA Distribution</t>
  </si>
  <si>
    <t>Taiwan</t>
  </si>
  <si>
    <t>Tajikistan</t>
  </si>
  <si>
    <t>Tanzania</t>
  </si>
  <si>
    <t>Tawa Private Label</t>
  </si>
  <si>
    <t>Thailand</t>
  </si>
  <si>
    <t>Tunisia</t>
  </si>
  <si>
    <t>Turkey</t>
  </si>
  <si>
    <t>U.A.E. Dubai</t>
  </si>
  <si>
    <t>USA</t>
  </si>
  <si>
    <t>Ukraine</t>
  </si>
  <si>
    <t>United Kingdom</t>
  </si>
  <si>
    <t>Uzbekistan</t>
  </si>
  <si>
    <t>Vietnam</t>
  </si>
  <si>
    <t>WE Distribution</t>
  </si>
  <si>
    <t>West Africa MgmtC</t>
  </si>
  <si>
    <t>Western Europe Mgmt</t>
  </si>
  <si>
    <t>World Wide Duty Free</t>
  </si>
  <si>
    <t>Zambia</t>
  </si>
  <si>
    <t>Americas</t>
  </si>
  <si>
    <t>Total</t>
  </si>
  <si>
    <t>P/L Line</t>
  </si>
  <si>
    <t>Sales Operations</t>
  </si>
  <si>
    <t>G&amp;A</t>
  </si>
  <si>
    <t>Miscellaneous</t>
  </si>
  <si>
    <t>Product Cost</t>
  </si>
  <si>
    <t>Cost allocation in or out</t>
  </si>
  <si>
    <t xml:space="preserve">( +)hurt / -) benefit) </t>
  </si>
  <si>
    <t>in</t>
  </si>
  <si>
    <t>out</t>
  </si>
  <si>
    <t>Driver</t>
  </si>
  <si>
    <t>Impacted Ledger</t>
  </si>
  <si>
    <t>Cost Category</t>
  </si>
  <si>
    <t>IFRS</t>
  </si>
  <si>
    <t>Statutory and / or Tax</t>
  </si>
  <si>
    <t>All Ledgers</t>
  </si>
  <si>
    <t>Management Reporting</t>
  </si>
  <si>
    <t>Statutory and / or Tax Requirements</t>
  </si>
  <si>
    <t>Labor</t>
  </si>
  <si>
    <t>GFE</t>
  </si>
  <si>
    <t>GME</t>
  </si>
  <si>
    <t>Depreciation</t>
  </si>
  <si>
    <t xml:space="preserve">Leaf </t>
  </si>
  <si>
    <t>NTM</t>
  </si>
  <si>
    <t>Others</t>
  </si>
  <si>
    <t>Period</t>
  </si>
  <si>
    <t>Trier</t>
  </si>
  <si>
    <t>Factory</t>
  </si>
  <si>
    <t>Dagmersellen</t>
  </si>
  <si>
    <t>Montreal</t>
  </si>
  <si>
    <t>Petro</t>
  </si>
  <si>
    <t>Bucharest</t>
  </si>
  <si>
    <t>Kremenchuk</t>
  </si>
  <si>
    <t>Izmir</t>
  </si>
  <si>
    <t>Amman</t>
  </si>
  <si>
    <t>Dar es salaam</t>
  </si>
  <si>
    <t>Senta</t>
  </si>
  <si>
    <t>Almaty</t>
  </si>
  <si>
    <t>Gostkow</t>
  </si>
  <si>
    <t>Tenerife</t>
  </si>
  <si>
    <t>Vargarda</t>
  </si>
  <si>
    <t>Khartoum</t>
  </si>
  <si>
    <t>Cairo</t>
  </si>
  <si>
    <t>Shebin El-Korn</t>
  </si>
  <si>
    <t>Yangon</t>
  </si>
  <si>
    <t>Zanjan</t>
  </si>
  <si>
    <t>La Tabacalera</t>
  </si>
  <si>
    <t>Bantangas</t>
  </si>
  <si>
    <t>Pasuruan</t>
  </si>
  <si>
    <t>Java</t>
  </si>
  <si>
    <t>Addis Ababa</t>
  </si>
  <si>
    <t>Dhaka</t>
  </si>
  <si>
    <t>Santa Cruz Do Sul</t>
  </si>
  <si>
    <t>Rostov on Don</t>
  </si>
  <si>
    <t>Xanthi</t>
  </si>
  <si>
    <t>Tainan</t>
  </si>
  <si>
    <t>IT</t>
  </si>
  <si>
    <t>R&amp;D</t>
  </si>
  <si>
    <t>Finance</t>
  </si>
  <si>
    <t>M&amp;S</t>
  </si>
  <si>
    <t>People &amp; Culture</t>
  </si>
  <si>
    <t>Corporate Development</t>
  </si>
  <si>
    <t>LRA</t>
  </si>
  <si>
    <t>Business Development</t>
  </si>
  <si>
    <t>Internal Audit</t>
  </si>
  <si>
    <t>Corporate Strategy</t>
  </si>
  <si>
    <t>Global Business Service</t>
  </si>
  <si>
    <t>Digital Business Unit</t>
  </si>
  <si>
    <t>2.  Nature of the cost</t>
  </si>
  <si>
    <t>3.  P/L Line</t>
  </si>
  <si>
    <t>5.  Period</t>
  </si>
  <si>
    <t>W_Europe</t>
  </si>
  <si>
    <t>Global_Functions</t>
  </si>
  <si>
    <t>Factory_Market</t>
  </si>
  <si>
    <t>E_Europe</t>
  </si>
  <si>
    <t>Asia_Pacific</t>
  </si>
  <si>
    <t>Factory Market only</t>
  </si>
  <si>
    <t>1.  Sending Region</t>
  </si>
  <si>
    <t>4.  Receiving  Region</t>
  </si>
  <si>
    <r>
      <t xml:space="preserve">To: </t>
    </r>
    <r>
      <rPr>
        <i/>
        <sz val="14"/>
        <color theme="1"/>
        <rFont val="Calibri"/>
        <family val="2"/>
        <scheme val="minor"/>
      </rPr>
      <t>CorporateFP&amp;A@JTI.com</t>
    </r>
  </si>
  <si>
    <r>
      <t xml:space="preserve">Submission: </t>
    </r>
    <r>
      <rPr>
        <i/>
        <sz val="14"/>
        <color theme="1"/>
        <rFont val="Calibri"/>
        <family val="2"/>
        <scheme val="minor"/>
      </rPr>
      <t xml:space="preserve">Friday February 28th </t>
    </r>
  </si>
  <si>
    <t>Instructions</t>
  </si>
  <si>
    <t>1. Scope:</t>
  </si>
  <si>
    <t>2. Using the Input template</t>
  </si>
  <si>
    <t>1) Select the Sending Region that your Market / Factory / Leaf Origin / Function belongs to</t>
  </si>
  <si>
    <t>2) Select your Market /Factory / Function from the drop down list</t>
  </si>
  <si>
    <t>4) Select the P/L line the allocation relates to</t>
  </si>
  <si>
    <t xml:space="preserve">3) Indicate the nature of the allocation e.g. rent, utilities, P&amp;C support, etc. </t>
  </si>
  <si>
    <t>5) Select the Region which receives the cost allocation</t>
  </si>
  <si>
    <t>6) Select the Market /Factory / Function that receives the allocation from the drop down list</t>
  </si>
  <si>
    <t xml:space="preserve">7) Input the allocation period (month). For recurring allocations record each period on a separate line </t>
  </si>
  <si>
    <t>Do not record any allocations in that you receive</t>
  </si>
  <si>
    <t>1.  Sending Market / Factory/
     Origin / Function</t>
  </si>
  <si>
    <t>4.  Receivinging Market / Factory/
     Origin / Function</t>
  </si>
  <si>
    <r>
      <t xml:space="preserve">Please complete the performance management allocations </t>
    </r>
    <r>
      <rPr>
        <i/>
        <u/>
        <sz val="14"/>
        <color theme="1"/>
        <rFont val="Calibri"/>
        <family val="2"/>
        <scheme val="minor"/>
      </rPr>
      <t>Out</t>
    </r>
    <r>
      <rPr>
        <i/>
        <sz val="14"/>
        <color theme="1"/>
        <rFont val="Calibri"/>
        <family val="2"/>
        <scheme val="minor"/>
      </rPr>
      <t xml:space="preserve"> that your market / function/ Factory/ Origin has by month for 2020 based upon your AP20 assumption</t>
    </r>
  </si>
  <si>
    <t>6.  Value ($'000)</t>
  </si>
  <si>
    <t>7.  Cost category</t>
  </si>
  <si>
    <t>8) Complete the value in $'000</t>
  </si>
  <si>
    <t>9) For Factory Market allocations, choose the appropriate cost category</t>
  </si>
  <si>
    <t>MENEAT</t>
  </si>
  <si>
    <t>10) Please add additional lines to the input template as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</si>
</sst>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0" fillId="0" borderId="0" xfId="0" applyFont="1" applyFill="1"/>
    <xf numFmtId="0" fontId="2" fillId="0" borderId="0" xfId="0" applyFont="1" applyFill="1"/>
    <xf numFmtId="0" fontId="0" fillId="0" borderId="0" xfId="0" applyFill="1" applyAlignment="1">
      <alignment horizontal="right"/>
    </xf>
    <xf numFmtId="0" fontId="0" fillId="3" borderId="0" xfId="0" applyFill="1"/>
    <xf numFmtId="0" fontId="3" fillId="4" borderId="0" xfId="0" applyFont="1" applyFill="1" applyAlignment="1">
      <alignment horizontal="center"/>
    </xf>
    <xf numFmtId="0" fontId="4" fillId="3" borderId="0" xfId="0" applyFont="1" applyFill="1"/>
    <xf numFmtId="0" fontId="1" fillId="2" borderId="3" xfId="0" applyFont="1" applyFill="1" applyBorder="1" applyAlignment="1">
      <alignment horizontal="center"/>
    </xf>
    <xf numFmtId="0" fontId="3" fillId="0" borderId="0" xfId="0" applyFont="1"/>
    <xf numFmtId="4" fontId="5" fillId="2" borderId="4" xfId="0" applyNumberFormat="1" applyFont="1" applyFill="1" applyBorder="1" applyAlignment="1">
      <alignment horizontal="center"/>
    </xf>
    <xf numFmtId="0" fontId="6" fillId="3" borderId="0" xfId="0" applyFont="1" applyFill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0424-2B66-43D9-BAAC-20380E1B7277}">
  <sheetPr codeName="Sheet1"/>
  <dimension ref="B4:B23"/>
  <sheetViews>
    <sheetView workbookViewId="0">
      <selection activeCell="B23" sqref="B23"/>
    </sheetView>
  </sheetViews>
  <sheetFormatPr defaultColWidth="8.81640625" defaultRowHeight="14.5" x14ac:dyDescent="0.35"/>
  <cols>
    <col min="1" max="16384" width="8.81640625" style="5"/>
  </cols>
  <sheetData>
    <row r="4" spans="2:2" ht="18.5" x14ac:dyDescent="0.45">
      <c r="B4" s="7" t="s">
        <v>233</v>
      </c>
    </row>
    <row r="5" spans="2:2" ht="18.5" x14ac:dyDescent="0.45">
      <c r="B5" s="7"/>
    </row>
    <row r="6" spans="2:2" ht="18.5" x14ac:dyDescent="0.45">
      <c r="B6" s="7" t="s">
        <v>232</v>
      </c>
    </row>
    <row r="7" spans="2:2" ht="18.5" x14ac:dyDescent="0.45">
      <c r="B7" s="7" t="s">
        <v>231</v>
      </c>
    </row>
    <row r="8" spans="2:2" ht="18.5" x14ac:dyDescent="0.45">
      <c r="B8" s="7"/>
    </row>
    <row r="9" spans="2:2" ht="18.5" x14ac:dyDescent="0.45">
      <c r="B9" s="7" t="s">
        <v>234</v>
      </c>
    </row>
    <row r="10" spans="2:2" ht="18.5" x14ac:dyDescent="0.45">
      <c r="B10" s="11" t="s">
        <v>246</v>
      </c>
    </row>
    <row r="11" spans="2:2" x14ac:dyDescent="0.35">
      <c r="B11" s="5" t="s">
        <v>243</v>
      </c>
    </row>
    <row r="12" spans="2:2" ht="18.5" x14ac:dyDescent="0.45">
      <c r="B12" s="7"/>
    </row>
    <row r="13" spans="2:2" ht="18.5" x14ac:dyDescent="0.45">
      <c r="B13" s="7" t="s">
        <v>235</v>
      </c>
    </row>
    <row r="14" spans="2:2" x14ac:dyDescent="0.35">
      <c r="B14" s="5" t="s">
        <v>236</v>
      </c>
    </row>
    <row r="15" spans="2:2" x14ac:dyDescent="0.35">
      <c r="B15" s="5" t="s">
        <v>237</v>
      </c>
    </row>
    <row r="16" spans="2:2" x14ac:dyDescent="0.35">
      <c r="B16" s="5" t="s">
        <v>239</v>
      </c>
    </row>
    <row r="17" spans="2:2" x14ac:dyDescent="0.35">
      <c r="B17" s="5" t="s">
        <v>238</v>
      </c>
    </row>
    <row r="18" spans="2:2" x14ac:dyDescent="0.35">
      <c r="B18" s="5" t="s">
        <v>240</v>
      </c>
    </row>
    <row r="19" spans="2:2" x14ac:dyDescent="0.35">
      <c r="B19" s="5" t="s">
        <v>241</v>
      </c>
    </row>
    <row r="20" spans="2:2" x14ac:dyDescent="0.35">
      <c r="B20" s="5" t="s">
        <v>242</v>
      </c>
    </row>
    <row r="21" spans="2:2" x14ac:dyDescent="0.35">
      <c r="B21" s="5" t="s">
        <v>249</v>
      </c>
    </row>
    <row r="22" spans="2:2" x14ac:dyDescent="0.35">
      <c r="B22" s="5" t="s">
        <v>250</v>
      </c>
    </row>
    <row r="23" spans="2:2" x14ac:dyDescent="0.35">
      <c r="B23" s="5" t="s">
        <v>252</v>
      </c>
    </row>
  </sheetData>
  <pageMargins left="0.7" right="0.7" top="0.75" bottom="0.75" header="0.3" footer="0.3"/>
  <pageSetup paperSize="9" orientation="portrait" verticalDpi="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K56"/>
  <sheetViews>
    <sheetView tabSelected="1" zoomScale="64" zoomScaleNormal="70" workbookViewId="0">
      <selection activeCell="K27" sqref="K27"/>
    </sheetView>
  </sheetViews>
  <sheetFormatPr defaultColWidth="8.81640625" defaultRowHeight="14.5" x14ac:dyDescent="0.35"/>
  <cols>
    <col min="1" max="2" width="8.81640625" style="1"/>
    <col min="3" max="3" width="18.1796875" style="1" customWidth="1"/>
    <col min="4" max="4" width="28" style="1" bestFit="1" customWidth="1"/>
    <col min="5" max="5" width="24.1796875" style="1" customWidth="1"/>
    <col min="6" max="6" width="18.1796875" style="1" customWidth="1"/>
    <col min="7" max="7" width="20" style="1" customWidth="1"/>
    <col min="8" max="8" width="31.1796875" style="1" customWidth="1"/>
    <col min="9" max="9" width="11.90625" style="1" customWidth="1"/>
    <col min="10" max="10" width="17.453125" style="1" customWidth="1"/>
    <col min="11" max="11" width="18.36328125" style="1" customWidth="1"/>
    <col min="12" max="16384" width="8.81640625" style="1"/>
  </cols>
  <sheetData>
    <row r="3" spans="2:11" x14ac:dyDescent="0.35">
      <c r="J3" s="1" t="s">
        <v>159</v>
      </c>
      <c r="K3" s="4"/>
    </row>
    <row r="4" spans="2:11" s="2" customFormat="1" ht="14.5" customHeight="1" x14ac:dyDescent="0.35">
      <c r="B4" s="14" t="s">
        <v>0</v>
      </c>
      <c r="C4" s="13" t="s">
        <v>229</v>
      </c>
      <c r="D4" s="15" t="s">
        <v>244</v>
      </c>
      <c r="E4" s="13" t="s">
        <v>220</v>
      </c>
      <c r="F4" s="13" t="s">
        <v>221</v>
      </c>
      <c r="G4" s="13" t="s">
        <v>230</v>
      </c>
      <c r="H4" s="15" t="s">
        <v>245</v>
      </c>
      <c r="I4" s="13" t="s">
        <v>222</v>
      </c>
      <c r="J4" s="12" t="s">
        <v>247</v>
      </c>
      <c r="K4" s="10" t="s">
        <v>228</v>
      </c>
    </row>
    <row r="5" spans="2:11" s="2" customFormat="1" x14ac:dyDescent="0.35">
      <c r="B5" s="14"/>
      <c r="C5" s="13"/>
      <c r="D5" s="13"/>
      <c r="E5" s="13"/>
      <c r="F5" s="13"/>
      <c r="G5" s="13"/>
      <c r="H5" s="13"/>
      <c r="I5" s="13"/>
      <c r="J5" s="13"/>
      <c r="K5" s="8" t="s">
        <v>248</v>
      </c>
    </row>
    <row r="6" spans="2:11" x14ac:dyDescent="0.35">
      <c r="B6" s="1">
        <v>1</v>
      </c>
    </row>
    <row r="7" spans="2:11" x14ac:dyDescent="0.35">
      <c r="B7" s="1">
        <v>2</v>
      </c>
    </row>
    <row r="8" spans="2:11" x14ac:dyDescent="0.35">
      <c r="B8" s="1">
        <v>3</v>
      </c>
    </row>
    <row r="9" spans="2:11" x14ac:dyDescent="0.35">
      <c r="B9" s="1">
        <v>4</v>
      </c>
    </row>
    <row r="10" spans="2:11" x14ac:dyDescent="0.35">
      <c r="B10" s="1">
        <v>5</v>
      </c>
    </row>
    <row r="11" spans="2:11" x14ac:dyDescent="0.35">
      <c r="B11" s="1">
        <v>6</v>
      </c>
    </row>
    <row r="12" spans="2:11" x14ac:dyDescent="0.35">
      <c r="B12" s="1">
        <v>7</v>
      </c>
    </row>
    <row r="13" spans="2:11" x14ac:dyDescent="0.35">
      <c r="B13" s="1">
        <v>8</v>
      </c>
    </row>
    <row r="14" spans="2:11" x14ac:dyDescent="0.35">
      <c r="B14" s="1">
        <v>9</v>
      </c>
    </row>
    <row r="15" spans="2:11" x14ac:dyDescent="0.35">
      <c r="B15" s="1">
        <v>10</v>
      </c>
    </row>
    <row r="16" spans="2:11" x14ac:dyDescent="0.35">
      <c r="B16" s="1">
        <v>11</v>
      </c>
    </row>
    <row r="17" spans="2:2" x14ac:dyDescent="0.35">
      <c r="B17" s="1">
        <v>12</v>
      </c>
    </row>
    <row r="18" spans="2:2" x14ac:dyDescent="0.35">
      <c r="B18" s="1">
        <v>13</v>
      </c>
    </row>
    <row r="19" spans="2:2" x14ac:dyDescent="0.35">
      <c r="B19" s="1">
        <v>14</v>
      </c>
    </row>
    <row r="20" spans="2:2" x14ac:dyDescent="0.35">
      <c r="B20" s="1">
        <v>15</v>
      </c>
    </row>
    <row r="21" spans="2:2" x14ac:dyDescent="0.35">
      <c r="B21" s="1">
        <v>16</v>
      </c>
    </row>
    <row r="22" spans="2:2" x14ac:dyDescent="0.35">
      <c r="B22" s="1">
        <v>17</v>
      </c>
    </row>
    <row r="23" spans="2:2" x14ac:dyDescent="0.35">
      <c r="B23" s="1">
        <v>18</v>
      </c>
    </row>
    <row r="24" spans="2:2" x14ac:dyDescent="0.35">
      <c r="B24" s="1">
        <v>19</v>
      </c>
    </row>
    <row r="25" spans="2:2" x14ac:dyDescent="0.35">
      <c r="B25" s="1">
        <v>20</v>
      </c>
    </row>
    <row r="26" spans="2:2" x14ac:dyDescent="0.35">
      <c r="B26" s="1">
        <v>21</v>
      </c>
    </row>
    <row r="27" spans="2:2" x14ac:dyDescent="0.35">
      <c r="B27" s="1">
        <v>22</v>
      </c>
    </row>
    <row r="28" spans="2:2" x14ac:dyDescent="0.35">
      <c r="B28" s="1">
        <v>23</v>
      </c>
    </row>
    <row r="29" spans="2:2" x14ac:dyDescent="0.35">
      <c r="B29" s="1">
        <v>24</v>
      </c>
    </row>
    <row r="30" spans="2:2" x14ac:dyDescent="0.35">
      <c r="B30" s="1">
        <v>25</v>
      </c>
    </row>
    <row r="31" spans="2:2" x14ac:dyDescent="0.35">
      <c r="B31" s="1">
        <v>26</v>
      </c>
    </row>
    <row r="32" spans="2:2" x14ac:dyDescent="0.35">
      <c r="B32" s="1">
        <v>27</v>
      </c>
    </row>
    <row r="33" spans="2:2" x14ac:dyDescent="0.35">
      <c r="B33" s="1">
        <v>28</v>
      </c>
    </row>
    <row r="34" spans="2:2" x14ac:dyDescent="0.35">
      <c r="B34" s="1">
        <v>29</v>
      </c>
    </row>
    <row r="35" spans="2:2" x14ac:dyDescent="0.35">
      <c r="B35" s="1">
        <v>30</v>
      </c>
    </row>
    <row r="36" spans="2:2" x14ac:dyDescent="0.35">
      <c r="B36" s="1">
        <v>31</v>
      </c>
    </row>
    <row r="37" spans="2:2" x14ac:dyDescent="0.35">
      <c r="B37" s="1">
        <v>32</v>
      </c>
    </row>
    <row r="38" spans="2:2" x14ac:dyDescent="0.35">
      <c r="B38" s="1">
        <v>33</v>
      </c>
    </row>
    <row r="39" spans="2:2" x14ac:dyDescent="0.35">
      <c r="B39" s="1">
        <v>34</v>
      </c>
    </row>
    <row r="40" spans="2:2" x14ac:dyDescent="0.35">
      <c r="B40" s="1">
        <v>35</v>
      </c>
    </row>
    <row r="41" spans="2:2" x14ac:dyDescent="0.35">
      <c r="B41" s="1">
        <v>36</v>
      </c>
    </row>
    <row r="42" spans="2:2" x14ac:dyDescent="0.35">
      <c r="B42" s="1">
        <v>37</v>
      </c>
    </row>
    <row r="43" spans="2:2" x14ac:dyDescent="0.35">
      <c r="B43" s="1">
        <v>38</v>
      </c>
    </row>
    <row r="44" spans="2:2" x14ac:dyDescent="0.35">
      <c r="B44" s="1">
        <v>39</v>
      </c>
    </row>
    <row r="45" spans="2:2" x14ac:dyDescent="0.35">
      <c r="B45" s="1">
        <v>40</v>
      </c>
    </row>
    <row r="46" spans="2:2" x14ac:dyDescent="0.35">
      <c r="B46" s="1">
        <v>41</v>
      </c>
    </row>
    <row r="47" spans="2:2" x14ac:dyDescent="0.35">
      <c r="B47" s="1">
        <v>42</v>
      </c>
    </row>
    <row r="48" spans="2:2" x14ac:dyDescent="0.35">
      <c r="B48" s="1">
        <v>43</v>
      </c>
    </row>
    <row r="49" spans="2:10" x14ac:dyDescent="0.35">
      <c r="B49" s="1">
        <v>44</v>
      </c>
    </row>
    <row r="50" spans="2:10" x14ac:dyDescent="0.35">
      <c r="B50" s="1">
        <v>45</v>
      </c>
    </row>
    <row r="51" spans="2:10" x14ac:dyDescent="0.35">
      <c r="B51" s="1">
        <v>46</v>
      </c>
    </row>
    <row r="52" spans="2:10" x14ac:dyDescent="0.35">
      <c r="B52" s="1">
        <v>47</v>
      </c>
    </row>
    <row r="53" spans="2:10" x14ac:dyDescent="0.35">
      <c r="B53" s="1">
        <v>48</v>
      </c>
    </row>
    <row r="54" spans="2:10" x14ac:dyDescent="0.35">
      <c r="B54" s="1">
        <v>49</v>
      </c>
    </row>
    <row r="55" spans="2:10" x14ac:dyDescent="0.35">
      <c r="B55" s="1">
        <v>50</v>
      </c>
    </row>
    <row r="56" spans="2:10" x14ac:dyDescent="0.35">
      <c r="B56" s="3" t="s">
        <v>152</v>
      </c>
      <c r="C56" s="3"/>
      <c r="D56" s="3"/>
      <c r="E56" s="3"/>
      <c r="F56" s="3"/>
      <c r="G56" s="3"/>
      <c r="H56" s="3"/>
      <c r="J56" s="1">
        <f>SUM(J6:J55)</f>
        <v>0</v>
      </c>
    </row>
  </sheetData>
  <mergeCells count="9">
    <mergeCell ref="J4:J5"/>
    <mergeCell ref="B4:B5"/>
    <mergeCell ref="C4:C5"/>
    <mergeCell ref="D4:D5"/>
    <mergeCell ref="E4:E5"/>
    <mergeCell ref="F4:F5"/>
    <mergeCell ref="G4:G5"/>
    <mergeCell ref="H4:H5"/>
    <mergeCell ref="I4:I5"/>
  </mergeCells>
  <dataValidations count="2">
    <dataValidation type="list" allowBlank="1" showInputMessage="1" showErrorMessage="1" sqref="C6:C55 G6:G55" xr:uid="{6B415D0F-39A8-4CDF-8F9F-55E7F257915E}">
      <formula1>Region</formula1>
    </dataValidation>
    <dataValidation type="list" allowBlank="1" showInputMessage="1" showErrorMessage="1" sqref="D6:D55 H6:H55" xr:uid="{1BF12218-BC49-4269-9D35-5B1147AFC776}">
      <formula1>INDIRECT(C6)</formula1>
    </dataValidation>
  </dataValidations>
  <pageMargins left="0.7" right="0.7" top="0.75" bottom="0.75" header="0.3" footer="0.3"/>
  <pageSetup paperSize="9" orientation="portrait" verticalDpi="0" r:id="rId1"/>
  <customProperties>
    <customPr name="_pios_id" r:id="rId2"/>
  </customPropertie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705849-A93E-46FB-8BCC-1B4DF445ACE4}">
          <x14:formula1>
            <xm:f>'Master-items'!$G$8:$G$14</xm:f>
          </x14:formula1>
          <xm:sqref>K6:K55</xm:sqref>
        </x14:dataValidation>
        <x14:dataValidation type="list" allowBlank="1" showInputMessage="1" showErrorMessage="1" xr:uid="{0D15DD38-5565-44FF-BCAA-8D348D730D94}">
          <x14:formula1>
            <xm:f>'Master-items'!$D$8:$D$19</xm:f>
          </x14:formula1>
          <xm:sqref>I6:I55</xm:sqref>
        </x14:dataValidation>
        <x14:dataValidation type="list" allowBlank="1" showInputMessage="1" showErrorMessage="1" xr:uid="{AA0FB108-B19F-4DAD-BEBA-47A41FB640ED}">
          <x14:formula1>
            <xm:f>'Master-items'!$C$8:$C$11</xm:f>
          </x14:formula1>
          <xm:sqref>F6:F55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8EE7-2138-4803-A5A0-B318F883AA40}">
  <dimension ref="A1"/>
  <sheetViews>
    <sheetView workbookViewId="0"/>
  </sheetViews>
  <sheetFormatPr defaultRowHeight="14.5" x14ac:dyDescent="0.35"/>
  <sheetData/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7:H36"/>
  <sheetViews>
    <sheetView workbookViewId="0">
      <selection activeCell="D25" sqref="D25"/>
    </sheetView>
  </sheetViews>
  <sheetFormatPr defaultRowHeight="14.5" x14ac:dyDescent="0.35"/>
  <cols>
    <col min="2" max="2" width="32.6328125" customWidth="1"/>
    <col min="3" max="3" width="26.90625" customWidth="1"/>
    <col min="4" max="4" width="17.1796875" customWidth="1"/>
    <col min="5" max="5" width="31.54296875" bestFit="1" customWidth="1"/>
    <col min="6" max="6" width="19.1796875" bestFit="1" customWidth="1"/>
    <col min="7" max="7" width="12.1796875" bestFit="1" customWidth="1"/>
  </cols>
  <sheetData>
    <row r="7" spans="2:8" x14ac:dyDescent="0.35">
      <c r="B7" t="s">
        <v>158</v>
      </c>
      <c r="C7" t="s">
        <v>153</v>
      </c>
      <c r="D7" t="s">
        <v>177</v>
      </c>
      <c r="E7" t="s">
        <v>162</v>
      </c>
      <c r="F7" t="s">
        <v>163</v>
      </c>
      <c r="G7" t="s">
        <v>164</v>
      </c>
      <c r="H7" t="s">
        <v>179</v>
      </c>
    </row>
    <row r="8" spans="2:8" x14ac:dyDescent="0.35">
      <c r="B8" t="s">
        <v>160</v>
      </c>
      <c r="C8" t="s">
        <v>154</v>
      </c>
      <c r="D8">
        <v>1</v>
      </c>
      <c r="E8" t="s">
        <v>168</v>
      </c>
      <c r="F8" t="s">
        <v>165</v>
      </c>
      <c r="G8" t="s">
        <v>170</v>
      </c>
      <c r="H8" t="s">
        <v>178</v>
      </c>
    </row>
    <row r="9" spans="2:8" x14ac:dyDescent="0.35">
      <c r="B9" t="s">
        <v>161</v>
      </c>
      <c r="C9" t="s">
        <v>155</v>
      </c>
      <c r="D9">
        <v>2</v>
      </c>
      <c r="E9" t="s">
        <v>169</v>
      </c>
      <c r="F9" t="s">
        <v>166</v>
      </c>
      <c r="G9" t="s">
        <v>171</v>
      </c>
      <c r="H9" t="s">
        <v>180</v>
      </c>
    </row>
    <row r="10" spans="2:8" x14ac:dyDescent="0.35">
      <c r="C10" t="s">
        <v>156</v>
      </c>
      <c r="D10">
        <v>3</v>
      </c>
      <c r="F10" t="s">
        <v>167</v>
      </c>
      <c r="G10" t="s">
        <v>172</v>
      </c>
      <c r="H10" t="s">
        <v>181</v>
      </c>
    </row>
    <row r="11" spans="2:8" x14ac:dyDescent="0.35">
      <c r="C11" t="s">
        <v>157</v>
      </c>
      <c r="D11">
        <v>4</v>
      </c>
      <c r="G11" t="s">
        <v>173</v>
      </c>
      <c r="H11" t="s">
        <v>182</v>
      </c>
    </row>
    <row r="12" spans="2:8" x14ac:dyDescent="0.35">
      <c r="D12">
        <v>5</v>
      </c>
      <c r="G12" t="s">
        <v>174</v>
      </c>
      <c r="H12" t="s">
        <v>183</v>
      </c>
    </row>
    <row r="13" spans="2:8" x14ac:dyDescent="0.35">
      <c r="D13">
        <v>6</v>
      </c>
      <c r="G13" t="s">
        <v>175</v>
      </c>
      <c r="H13" t="s">
        <v>184</v>
      </c>
    </row>
    <row r="14" spans="2:8" x14ac:dyDescent="0.35">
      <c r="D14">
        <v>7</v>
      </c>
      <c r="G14" t="s">
        <v>176</v>
      </c>
      <c r="H14" t="s">
        <v>185</v>
      </c>
    </row>
    <row r="15" spans="2:8" x14ac:dyDescent="0.35">
      <c r="D15">
        <v>8</v>
      </c>
      <c r="H15" t="s">
        <v>186</v>
      </c>
    </row>
    <row r="16" spans="2:8" x14ac:dyDescent="0.35">
      <c r="D16">
        <v>9</v>
      </c>
      <c r="H16" t="s">
        <v>187</v>
      </c>
    </row>
    <row r="17" spans="3:8" x14ac:dyDescent="0.35">
      <c r="C17" s="1"/>
      <c r="D17">
        <v>10</v>
      </c>
      <c r="H17" t="s">
        <v>188</v>
      </c>
    </row>
    <row r="18" spans="3:8" x14ac:dyDescent="0.35">
      <c r="C18" s="1"/>
      <c r="D18">
        <v>11</v>
      </c>
      <c r="H18" t="s">
        <v>189</v>
      </c>
    </row>
    <row r="19" spans="3:8" x14ac:dyDescent="0.35">
      <c r="C19" s="1"/>
      <c r="D19">
        <v>12</v>
      </c>
      <c r="H19" t="s">
        <v>190</v>
      </c>
    </row>
    <row r="20" spans="3:8" x14ac:dyDescent="0.35">
      <c r="C20" s="1"/>
      <c r="H20" t="s">
        <v>191</v>
      </c>
    </row>
    <row r="21" spans="3:8" x14ac:dyDescent="0.35">
      <c r="C21" s="1"/>
      <c r="H21" t="s">
        <v>192</v>
      </c>
    </row>
    <row r="22" spans="3:8" x14ac:dyDescent="0.35">
      <c r="C22" s="1"/>
      <c r="H22" t="s">
        <v>193</v>
      </c>
    </row>
    <row r="23" spans="3:8" x14ac:dyDescent="0.35">
      <c r="C23" s="1"/>
      <c r="H23" t="s">
        <v>194</v>
      </c>
    </row>
    <row r="24" spans="3:8" x14ac:dyDescent="0.35">
      <c r="C24" s="1"/>
      <c r="H24" t="s">
        <v>195</v>
      </c>
    </row>
    <row r="25" spans="3:8" x14ac:dyDescent="0.35">
      <c r="C25" s="1"/>
      <c r="H25" t="s">
        <v>196</v>
      </c>
    </row>
    <row r="26" spans="3:8" x14ac:dyDescent="0.35">
      <c r="C26" s="1"/>
      <c r="H26" t="s">
        <v>197</v>
      </c>
    </row>
    <row r="27" spans="3:8" x14ac:dyDescent="0.35">
      <c r="C27" s="1"/>
      <c r="H27" t="s">
        <v>207</v>
      </c>
    </row>
    <row r="28" spans="3:8" x14ac:dyDescent="0.35">
      <c r="C28" s="1"/>
      <c r="H28" t="s">
        <v>198</v>
      </c>
    </row>
    <row r="29" spans="3:8" x14ac:dyDescent="0.35">
      <c r="C29" s="1"/>
      <c r="H29" t="s">
        <v>199</v>
      </c>
    </row>
    <row r="30" spans="3:8" x14ac:dyDescent="0.35">
      <c r="H30" t="s">
        <v>200</v>
      </c>
    </row>
    <row r="31" spans="3:8" x14ac:dyDescent="0.35">
      <c r="H31" t="s">
        <v>201</v>
      </c>
    </row>
    <row r="32" spans="3:8" x14ac:dyDescent="0.35">
      <c r="H32" t="s">
        <v>202</v>
      </c>
    </row>
    <row r="33" spans="8:8" x14ac:dyDescent="0.35">
      <c r="H33" t="s">
        <v>203</v>
      </c>
    </row>
    <row r="34" spans="8:8" x14ac:dyDescent="0.35">
      <c r="H34" t="s">
        <v>204</v>
      </c>
    </row>
    <row r="35" spans="8:8" x14ac:dyDescent="0.35">
      <c r="H35" t="s">
        <v>205</v>
      </c>
    </row>
    <row r="36" spans="8:8" x14ac:dyDescent="0.35">
      <c r="H36" t="s">
        <v>206</v>
      </c>
    </row>
  </sheetData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B717-95F1-4A09-A373-522A61AE9A7A}">
  <sheetPr codeName="Sheet4"/>
  <dimension ref="C3:I55"/>
  <sheetViews>
    <sheetView workbookViewId="0">
      <selection activeCell="E18" sqref="E18"/>
    </sheetView>
  </sheetViews>
  <sheetFormatPr defaultRowHeight="14.5" x14ac:dyDescent="0.35"/>
  <cols>
    <col min="3" max="3" width="19.90625" bestFit="1" customWidth="1"/>
    <col min="4" max="4" width="32.6328125" bestFit="1" customWidth="1"/>
    <col min="5" max="5" width="21.54296875" bestFit="1" customWidth="1"/>
    <col min="6" max="6" width="26.54296875" bestFit="1" customWidth="1"/>
    <col min="7" max="7" width="19.54296875" bestFit="1" customWidth="1"/>
    <col min="8" max="8" width="18.08984375" bestFit="1" customWidth="1"/>
    <col min="9" max="9" width="19.6328125" bestFit="1" customWidth="1"/>
  </cols>
  <sheetData>
    <row r="3" spans="3:9" s="9" customFormat="1" x14ac:dyDescent="0.35">
      <c r="C3" s="6" t="s">
        <v>223</v>
      </c>
      <c r="D3" s="6" t="s">
        <v>251</v>
      </c>
      <c r="E3" s="6" t="s">
        <v>224</v>
      </c>
      <c r="F3" s="6" t="s">
        <v>225</v>
      </c>
      <c r="G3" s="6" t="s">
        <v>226</v>
      </c>
      <c r="H3" s="6" t="s">
        <v>227</v>
      </c>
      <c r="I3" s="6" t="s">
        <v>151</v>
      </c>
    </row>
    <row r="4" spans="3:9" x14ac:dyDescent="0.35">
      <c r="C4" t="s">
        <v>4</v>
      </c>
      <c r="D4" t="s">
        <v>2</v>
      </c>
      <c r="E4" t="s">
        <v>208</v>
      </c>
      <c r="F4" t="s">
        <v>178</v>
      </c>
      <c r="G4" t="s">
        <v>1</v>
      </c>
      <c r="H4" t="s">
        <v>8</v>
      </c>
      <c r="I4" t="s">
        <v>3</v>
      </c>
    </row>
    <row r="5" spans="3:9" x14ac:dyDescent="0.35">
      <c r="C5" t="s">
        <v>11</v>
      </c>
      <c r="D5" t="s">
        <v>5</v>
      </c>
      <c r="E5" t="s">
        <v>209</v>
      </c>
      <c r="F5" t="s">
        <v>180</v>
      </c>
      <c r="G5" t="s">
        <v>7</v>
      </c>
      <c r="H5" t="s">
        <v>9</v>
      </c>
      <c r="I5" t="s">
        <v>6</v>
      </c>
    </row>
    <row r="6" spans="3:9" x14ac:dyDescent="0.35">
      <c r="C6" t="s">
        <v>14</v>
      </c>
      <c r="D6" t="s">
        <v>13</v>
      </c>
      <c r="E6" t="s">
        <v>210</v>
      </c>
      <c r="F6" t="s">
        <v>181</v>
      </c>
      <c r="G6" t="s">
        <v>12</v>
      </c>
      <c r="H6" t="s">
        <v>10</v>
      </c>
      <c r="I6" t="s">
        <v>18</v>
      </c>
    </row>
    <row r="7" spans="3:9" x14ac:dyDescent="0.35">
      <c r="C7" t="s">
        <v>17</v>
      </c>
      <c r="D7" t="s">
        <v>23</v>
      </c>
      <c r="E7" t="s">
        <v>211</v>
      </c>
      <c r="F7" t="s">
        <v>182</v>
      </c>
      <c r="G7" t="s">
        <v>16</v>
      </c>
      <c r="H7" t="s">
        <v>15</v>
      </c>
      <c r="I7" t="s">
        <v>20</v>
      </c>
    </row>
    <row r="8" spans="3:9" x14ac:dyDescent="0.35">
      <c r="C8" t="s">
        <v>28</v>
      </c>
      <c r="D8" t="s">
        <v>26</v>
      </c>
      <c r="E8" t="s">
        <v>212</v>
      </c>
      <c r="F8" t="s">
        <v>183</v>
      </c>
      <c r="G8" t="s">
        <v>19</v>
      </c>
      <c r="H8" t="s">
        <v>25</v>
      </c>
      <c r="I8" t="s">
        <v>21</v>
      </c>
    </row>
    <row r="9" spans="3:9" x14ac:dyDescent="0.35">
      <c r="C9" t="s">
        <v>33</v>
      </c>
      <c r="D9" t="s">
        <v>35</v>
      </c>
      <c r="E9" t="s">
        <v>213</v>
      </c>
      <c r="F9" t="s">
        <v>184</v>
      </c>
      <c r="G9" t="s">
        <v>22</v>
      </c>
      <c r="H9" t="s">
        <v>61</v>
      </c>
      <c r="I9" t="s">
        <v>27</v>
      </c>
    </row>
    <row r="10" spans="3:9" x14ac:dyDescent="0.35">
      <c r="C10" t="s">
        <v>36</v>
      </c>
      <c r="D10" t="s">
        <v>40</v>
      </c>
      <c r="E10" t="s">
        <v>214</v>
      </c>
      <c r="F10" t="s">
        <v>185</v>
      </c>
      <c r="G10" t="s">
        <v>24</v>
      </c>
      <c r="H10" t="s">
        <v>62</v>
      </c>
      <c r="I10" t="s">
        <v>29</v>
      </c>
    </row>
    <row r="11" spans="3:9" x14ac:dyDescent="0.35">
      <c r="C11" t="s">
        <v>45</v>
      </c>
      <c r="D11" t="s">
        <v>42</v>
      </c>
      <c r="E11" t="s">
        <v>215</v>
      </c>
      <c r="F11" t="s">
        <v>186</v>
      </c>
      <c r="G11" t="s">
        <v>32</v>
      </c>
      <c r="H11" t="s">
        <v>71</v>
      </c>
      <c r="I11" t="s">
        <v>30</v>
      </c>
    </row>
    <row r="12" spans="3:9" x14ac:dyDescent="0.35">
      <c r="C12" t="s">
        <v>47</v>
      </c>
      <c r="D12" t="s">
        <v>43</v>
      </c>
      <c r="E12" t="s">
        <v>216</v>
      </c>
      <c r="F12" t="s">
        <v>187</v>
      </c>
      <c r="G12" t="s">
        <v>34</v>
      </c>
      <c r="H12" t="s">
        <v>77</v>
      </c>
      <c r="I12" t="s">
        <v>31</v>
      </c>
    </row>
    <row r="13" spans="3:9" x14ac:dyDescent="0.35">
      <c r="C13" t="s">
        <v>48</v>
      </c>
      <c r="D13" t="s">
        <v>44</v>
      </c>
      <c r="E13" t="s">
        <v>217</v>
      </c>
      <c r="F13" t="s">
        <v>188</v>
      </c>
      <c r="G13" t="s">
        <v>38</v>
      </c>
      <c r="H13" t="s">
        <v>85</v>
      </c>
      <c r="I13" t="s">
        <v>37</v>
      </c>
    </row>
    <row r="14" spans="3:9" x14ac:dyDescent="0.35">
      <c r="C14" t="s">
        <v>53</v>
      </c>
      <c r="D14" t="s">
        <v>46</v>
      </c>
      <c r="E14" t="s">
        <v>218</v>
      </c>
      <c r="F14" t="s">
        <v>189</v>
      </c>
      <c r="G14" t="s">
        <v>39</v>
      </c>
      <c r="H14" t="s">
        <v>98</v>
      </c>
      <c r="I14" t="s">
        <v>49</v>
      </c>
    </row>
    <row r="15" spans="3:9" x14ac:dyDescent="0.35">
      <c r="C15" t="s">
        <v>54</v>
      </c>
      <c r="D15" t="s">
        <v>50</v>
      </c>
      <c r="E15" t="s">
        <v>219</v>
      </c>
      <c r="F15" t="s">
        <v>190</v>
      </c>
      <c r="G15" t="s">
        <v>41</v>
      </c>
      <c r="H15" t="s">
        <v>100</v>
      </c>
      <c r="I15" t="s">
        <v>56</v>
      </c>
    </row>
    <row r="16" spans="3:9" x14ac:dyDescent="0.35">
      <c r="C16" t="s">
        <v>55</v>
      </c>
      <c r="D16" t="s">
        <v>51</v>
      </c>
      <c r="F16" t="s">
        <v>191</v>
      </c>
      <c r="G16" t="s">
        <v>52</v>
      </c>
      <c r="H16" t="s">
        <v>110</v>
      </c>
      <c r="I16" t="s">
        <v>90</v>
      </c>
    </row>
    <row r="17" spans="3:9" x14ac:dyDescent="0.35">
      <c r="C17" t="s">
        <v>60</v>
      </c>
      <c r="D17" t="s">
        <v>57</v>
      </c>
      <c r="F17" t="s">
        <v>192</v>
      </c>
      <c r="G17" t="s">
        <v>59</v>
      </c>
      <c r="H17" t="s">
        <v>117</v>
      </c>
      <c r="I17" t="s">
        <v>102</v>
      </c>
    </row>
    <row r="18" spans="3:9" x14ac:dyDescent="0.35">
      <c r="C18" t="s">
        <v>65</v>
      </c>
      <c r="D18" t="s">
        <v>58</v>
      </c>
      <c r="F18" t="s">
        <v>193</v>
      </c>
      <c r="G18" t="s">
        <v>70</v>
      </c>
      <c r="H18" t="s">
        <v>122</v>
      </c>
      <c r="I18" t="s">
        <v>109</v>
      </c>
    </row>
    <row r="19" spans="3:9" x14ac:dyDescent="0.35">
      <c r="C19" t="s">
        <v>67</v>
      </c>
      <c r="D19" t="s">
        <v>63</v>
      </c>
      <c r="F19" t="s">
        <v>194</v>
      </c>
      <c r="G19" t="s">
        <v>72</v>
      </c>
      <c r="H19" t="s">
        <v>133</v>
      </c>
      <c r="I19" t="s">
        <v>116</v>
      </c>
    </row>
    <row r="20" spans="3:9" x14ac:dyDescent="0.35">
      <c r="C20" t="s">
        <v>75</v>
      </c>
      <c r="D20" t="s">
        <v>64</v>
      </c>
      <c r="F20" t="s">
        <v>195</v>
      </c>
      <c r="G20" t="s">
        <v>74</v>
      </c>
      <c r="H20" t="s">
        <v>137</v>
      </c>
      <c r="I20" t="s">
        <v>141</v>
      </c>
    </row>
    <row r="21" spans="3:9" x14ac:dyDescent="0.35">
      <c r="C21" t="s">
        <v>78</v>
      </c>
      <c r="D21" t="s">
        <v>66</v>
      </c>
      <c r="F21" t="s">
        <v>196</v>
      </c>
      <c r="G21" t="s">
        <v>84</v>
      </c>
      <c r="H21" t="s">
        <v>145</v>
      </c>
    </row>
    <row r="22" spans="3:9" x14ac:dyDescent="0.35">
      <c r="C22" t="s">
        <v>81</v>
      </c>
      <c r="D22" t="s">
        <v>68</v>
      </c>
      <c r="F22" t="s">
        <v>197</v>
      </c>
      <c r="G22" t="s">
        <v>91</v>
      </c>
    </row>
    <row r="23" spans="3:9" x14ac:dyDescent="0.35">
      <c r="C23" t="s">
        <v>82</v>
      </c>
      <c r="D23" t="s">
        <v>69</v>
      </c>
      <c r="F23" t="s">
        <v>207</v>
      </c>
      <c r="G23" t="s">
        <v>93</v>
      </c>
    </row>
    <row r="24" spans="3:9" x14ac:dyDescent="0.35">
      <c r="C24" t="s">
        <v>86</v>
      </c>
      <c r="D24" t="s">
        <v>73</v>
      </c>
      <c r="F24" t="s">
        <v>198</v>
      </c>
      <c r="G24" t="s">
        <v>94</v>
      </c>
    </row>
    <row r="25" spans="3:9" x14ac:dyDescent="0.35">
      <c r="C25" t="s">
        <v>101</v>
      </c>
      <c r="D25" t="s">
        <v>76</v>
      </c>
      <c r="F25" t="s">
        <v>199</v>
      </c>
      <c r="G25" t="s">
        <v>95</v>
      </c>
    </row>
    <row r="26" spans="3:9" x14ac:dyDescent="0.35">
      <c r="C26" t="s">
        <v>106</v>
      </c>
      <c r="D26" t="s">
        <v>79</v>
      </c>
      <c r="F26" t="s">
        <v>200</v>
      </c>
      <c r="G26" t="s">
        <v>111</v>
      </c>
    </row>
    <row r="27" spans="3:9" x14ac:dyDescent="0.35">
      <c r="C27" t="s">
        <v>112</v>
      </c>
      <c r="D27" t="s">
        <v>80</v>
      </c>
      <c r="F27" t="s">
        <v>201</v>
      </c>
      <c r="G27" t="s">
        <v>114</v>
      </c>
    </row>
    <row r="28" spans="3:9" x14ac:dyDescent="0.35">
      <c r="C28" t="s">
        <v>128</v>
      </c>
      <c r="D28" t="s">
        <v>83</v>
      </c>
      <c r="F28" t="s">
        <v>202</v>
      </c>
      <c r="G28" t="s">
        <v>115</v>
      </c>
    </row>
    <row r="29" spans="3:9" x14ac:dyDescent="0.35">
      <c r="C29" t="s">
        <v>130</v>
      </c>
      <c r="D29" t="s">
        <v>87</v>
      </c>
      <c r="F29" t="s">
        <v>203</v>
      </c>
      <c r="G29" t="s">
        <v>119</v>
      </c>
    </row>
    <row r="30" spans="3:9" x14ac:dyDescent="0.35">
      <c r="C30" t="s">
        <v>131</v>
      </c>
      <c r="D30" t="s">
        <v>88</v>
      </c>
      <c r="F30" t="s">
        <v>204</v>
      </c>
      <c r="G30" t="s">
        <v>123</v>
      </c>
    </row>
    <row r="31" spans="3:9" x14ac:dyDescent="0.35">
      <c r="C31" t="s">
        <v>132</v>
      </c>
      <c r="D31" t="s">
        <v>89</v>
      </c>
      <c r="F31" t="s">
        <v>205</v>
      </c>
      <c r="G31" t="s">
        <v>124</v>
      </c>
    </row>
    <row r="32" spans="3:9" x14ac:dyDescent="0.35">
      <c r="C32" t="s">
        <v>136</v>
      </c>
      <c r="D32" t="s">
        <v>92</v>
      </c>
      <c r="F32" t="s">
        <v>206</v>
      </c>
      <c r="G32" t="s">
        <v>134</v>
      </c>
    </row>
    <row r="33" spans="3:7" x14ac:dyDescent="0.35">
      <c r="C33" t="s">
        <v>143</v>
      </c>
      <c r="D33" t="s">
        <v>96</v>
      </c>
      <c r="G33" t="s">
        <v>142</v>
      </c>
    </row>
    <row r="34" spans="3:7" x14ac:dyDescent="0.35">
      <c r="C34" t="s">
        <v>146</v>
      </c>
      <c r="D34" t="s">
        <v>97</v>
      </c>
      <c r="G34" t="s">
        <v>144</v>
      </c>
    </row>
    <row r="35" spans="3:7" x14ac:dyDescent="0.35">
      <c r="C35" t="s">
        <v>148</v>
      </c>
      <c r="D35" t="s">
        <v>99</v>
      </c>
    </row>
    <row r="36" spans="3:7" x14ac:dyDescent="0.35">
      <c r="D36" t="s">
        <v>103</v>
      </c>
    </row>
    <row r="37" spans="3:7" x14ac:dyDescent="0.35">
      <c r="D37" t="s">
        <v>104</v>
      </c>
    </row>
    <row r="38" spans="3:7" x14ac:dyDescent="0.35">
      <c r="D38" t="s">
        <v>105</v>
      </c>
    </row>
    <row r="39" spans="3:7" x14ac:dyDescent="0.35">
      <c r="D39" t="s">
        <v>107</v>
      </c>
    </row>
    <row r="40" spans="3:7" x14ac:dyDescent="0.35">
      <c r="D40" t="s">
        <v>108</v>
      </c>
    </row>
    <row r="41" spans="3:7" x14ac:dyDescent="0.35">
      <c r="D41" t="s">
        <v>113</v>
      </c>
    </row>
    <row r="42" spans="3:7" x14ac:dyDescent="0.35">
      <c r="D42" t="s">
        <v>118</v>
      </c>
    </row>
    <row r="43" spans="3:7" x14ac:dyDescent="0.35">
      <c r="D43" t="s">
        <v>120</v>
      </c>
    </row>
    <row r="44" spans="3:7" x14ac:dyDescent="0.35">
      <c r="D44" t="s">
        <v>121</v>
      </c>
    </row>
    <row r="45" spans="3:7" x14ac:dyDescent="0.35">
      <c r="D45" t="s">
        <v>125</v>
      </c>
    </row>
    <row r="46" spans="3:7" x14ac:dyDescent="0.35">
      <c r="D46" t="s">
        <v>126</v>
      </c>
    </row>
    <row r="47" spans="3:7" x14ac:dyDescent="0.35">
      <c r="D47" t="s">
        <v>127</v>
      </c>
    </row>
    <row r="48" spans="3:7" x14ac:dyDescent="0.35">
      <c r="D48" t="s">
        <v>129</v>
      </c>
    </row>
    <row r="49" spans="4:4" x14ac:dyDescent="0.35">
      <c r="D49" t="s">
        <v>135</v>
      </c>
    </row>
    <row r="50" spans="4:4" x14ac:dyDescent="0.35">
      <c r="D50" t="s">
        <v>138</v>
      </c>
    </row>
    <row r="51" spans="4:4" x14ac:dyDescent="0.35">
      <c r="D51" t="s">
        <v>139</v>
      </c>
    </row>
    <row r="52" spans="4:4" x14ac:dyDescent="0.35">
      <c r="D52" t="s">
        <v>140</v>
      </c>
    </row>
    <row r="53" spans="4:4" x14ac:dyDescent="0.35">
      <c r="D53" t="s">
        <v>147</v>
      </c>
    </row>
    <row r="54" spans="4:4" x14ac:dyDescent="0.35">
      <c r="D54" t="s">
        <v>149</v>
      </c>
    </row>
    <row r="55" spans="4:4" x14ac:dyDescent="0.35">
      <c r="D55" t="s">
        <v>150</v>
      </c>
    </row>
  </sheetData>
  <pageMargins left="0.7" right="0.7" top="0.75" bottom="0.75" header="0.3" footer="0.3"/>
  <pageSetup paperSize="9" orientation="portrait" verticalDpi="0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Details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axCatchAll xmlns="cb52ee0d-5346-4ae8-a9f9-d746adffeb6b" xsi:nil="true"/>
    <T_x002d_Code xmlns="91871c47-af2e-43ea-ad3f-7bb4c536bc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A691DA1475FED40816A34A9887BD419" ma:contentTypeVersion="26" ma:contentTypeDescription="Создание документа." ma:contentTypeScope="" ma:versionID="559e90d719ff0254e378a0bb7967f071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a3b096dd063bdcacd4429cc4e08033be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Свойства единой политики соответствия требованиям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Действие с пользовательским интерфейсом в рамках единой политики соответствия требованиям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D8CB3F-99A0-45B2-AD44-EB817E69AD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B154F1-4355-4493-BC03-FBF6B54E5978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7becc134-d240-477a-9a33-bcb0f931db58"/>
    <ds:schemaRef ds:uri="http://purl.org/dc/terms/"/>
    <ds:schemaRef ds:uri="87a78e50-630e-4f24-b1a6-42ced6c71dd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48F89D0-D049-4874-A031-51C6BDDD76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Instruction</vt:lpstr>
      <vt:lpstr>Input</vt:lpstr>
      <vt:lpstr>Sheet1</vt:lpstr>
      <vt:lpstr>Master-items</vt:lpstr>
      <vt:lpstr>Master-markets</vt:lpstr>
      <vt:lpstr>Americas</vt:lpstr>
      <vt:lpstr>Asia_Pacific</vt:lpstr>
      <vt:lpstr>E_Europe</vt:lpstr>
      <vt:lpstr>Factory_Market</vt:lpstr>
      <vt:lpstr>Global_Functions</vt:lpstr>
      <vt:lpstr>MENEAT</vt:lpstr>
      <vt:lpstr>Region</vt:lpstr>
      <vt:lpstr>W_Europe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Sanada, Atsushi</dc:creator>
  <cp:lastModifiedBy>Shauna, Oneill</cp:lastModifiedBy>
  <dcterms:created xsi:type="dcterms:W3CDTF">2020-02-03T10:11:33Z</dcterms:created>
  <dcterms:modified xsi:type="dcterms:W3CDTF">2020-03-13T16:06:30Z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CustomUiType">
    <vt:lpwstr>2</vt:lpwstr>
  </property>
  <property fmtid="{D5CDD505-2E9C-101B-9397-08002B2CF9AE}" pid="4" name="Order">
    <vt:r8>1330200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