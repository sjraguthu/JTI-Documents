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drawings/drawing1.xml" ContentType="application/vnd.openxmlformats-officedocument.drawing+xml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-my.sharepoint.com/personal/cstwangw_corp_jti_com/Documents/Documents/My documents/Project/CIT Relaunch/"/>
    </mc:Choice>
  </mc:AlternateContent>
  <xr:revisionPtr revIDLastSave="6" documentId="14_{26D5F9C0-7425-45F9-978D-EAA63657CDA7}" xr6:coauthVersionLast="48" xr6:coauthVersionMax="48" xr10:uidLastSave="{9B93F515-39C6-4CF3-8712-3A1C9B974C14}"/>
  <bookViews>
    <workbookView xWindow="-120" yWindow="-120" windowWidth="27645" windowHeight="16440" firstSheet="3" activeTab="3" xr2:uid="{33AF4245-3BEB-4A6A-9735-3053D877E943}"/>
  </bookViews>
  <sheets>
    <sheet name="_com.sap.ip.bi.xl.hiddensheet" sheetId="2" state="veryHidden" r:id="rId1"/>
    <sheet name="First run-CDS GL Line items" sheetId="1" r:id="rId2"/>
    <sheet name="2nd run-selected GL with diff" sheetId="3" r:id="rId3"/>
    <sheet name="3rd run-selected GL with diff" sheetId="4" r:id="rId4"/>
  </sheets>
  <definedNames>
    <definedName name="_xlnm._FilterDatabase" localSheetId="1" hidden="1">'First run-CDS GL Line items'!$E$2:$I$265</definedName>
    <definedName name="SAPCrosstab1">'First run-CDS GL Line items'!$A$1:$G$265</definedName>
    <definedName name="SAPCrosstab2">'2nd run-selected GL with diff'!$A$1:$H$49</definedName>
    <definedName name="SAPCrosstab3">'3rd run-selected GL with diff'!$A$1:$H$183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65" i="1" l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</calcChain>
</file>

<file path=xl/sharedStrings.xml><?xml version="1.0" encoding="utf-8"?>
<sst xmlns="http://schemas.openxmlformats.org/spreadsheetml/2006/main" count="847" uniqueCount="759">
  <si>
    <t/>
  </si>
  <si>
    <t>Company Code Currency (LC1)</t>
  </si>
  <si>
    <t>Ledger</t>
  </si>
  <si>
    <t>ST</t>
  </si>
  <si>
    <t>TX</t>
  </si>
  <si>
    <t>T1</t>
  </si>
  <si>
    <t>TX-ST</t>
  </si>
  <si>
    <t>T1-TX</t>
  </si>
  <si>
    <t>STATUTORY</t>
  </si>
  <si>
    <t>TAX</t>
  </si>
  <si>
    <t>TAX EXTENSION (Tax Perm)</t>
  </si>
  <si>
    <t>Temps</t>
  </si>
  <si>
    <t>Perms</t>
  </si>
  <si>
    <t>G/L Account Type</t>
  </si>
  <si>
    <t>GL Account</t>
  </si>
  <si>
    <t>EUR</t>
  </si>
  <si>
    <t>N</t>
  </si>
  <si>
    <t>Nonoperating Expense or Income</t>
  </si>
  <si>
    <t>JTIO/390010</t>
  </si>
  <si>
    <t>Gross Sales Translat</t>
  </si>
  <si>
    <t>JTIO/390020</t>
  </si>
  <si>
    <t>Excise Tax - Trans</t>
  </si>
  <si>
    <t>JTIO/512300</t>
  </si>
  <si>
    <t>GSA Expense</t>
  </si>
  <si>
    <t>JTIO/599999</t>
  </si>
  <si>
    <t>COGS CTA</t>
  </si>
  <si>
    <t>JTIO/605110</t>
  </si>
  <si>
    <t>Income from FA sale</t>
  </si>
  <si>
    <t>JTIO/606110</t>
  </si>
  <si>
    <t>NBV from FA Sale</t>
  </si>
  <si>
    <t>JTIO/699999</t>
  </si>
  <si>
    <t>Misc. CTA</t>
  </si>
  <si>
    <t>JTIO/705025</t>
  </si>
  <si>
    <t>Restru-Termin benef</t>
  </si>
  <si>
    <t>JTIO/707010</t>
  </si>
  <si>
    <t>IntrstExpnsOnSTDebt</t>
  </si>
  <si>
    <t>JTIO/712010</t>
  </si>
  <si>
    <t>MiscellanInterest</t>
  </si>
  <si>
    <t>JTIO/712020</t>
  </si>
  <si>
    <t>ICIntExpenseonBorrow</t>
  </si>
  <si>
    <t>JTIO/712030</t>
  </si>
  <si>
    <t>I/CIntIncomeonInvs</t>
  </si>
  <si>
    <t>JTIO/723011</t>
  </si>
  <si>
    <t>RlzdFXGainManual</t>
  </si>
  <si>
    <t>JTIO/723020</t>
  </si>
  <si>
    <t>RlzdARTradeFXGain</t>
  </si>
  <si>
    <t>JTIO/723021</t>
  </si>
  <si>
    <t>RlzdARTradeFXGainMan</t>
  </si>
  <si>
    <t>JTIO/723030</t>
  </si>
  <si>
    <t>RFX Trade AP Gain</t>
  </si>
  <si>
    <t>JTIO/724010</t>
  </si>
  <si>
    <t>RlzdFXLoss</t>
  </si>
  <si>
    <t>JTIO/724011</t>
  </si>
  <si>
    <t>RlzdFXLossManual</t>
  </si>
  <si>
    <t>JTIO/724020</t>
  </si>
  <si>
    <t>RFX Trade AR Loss</t>
  </si>
  <si>
    <t>JTIO/724021</t>
  </si>
  <si>
    <t>RFX Trade AR L Man</t>
  </si>
  <si>
    <t>JTIO/725010</t>
  </si>
  <si>
    <t>RFX Cash Gain</t>
  </si>
  <si>
    <t>JTIO/725020</t>
  </si>
  <si>
    <t>RFX Other AR Gain</t>
  </si>
  <si>
    <t>JTIO/725030</t>
  </si>
  <si>
    <t>RFX Other AP Gain</t>
  </si>
  <si>
    <t>JTIO/725035</t>
  </si>
  <si>
    <t>RFX Ex Tax Pay Gain</t>
  </si>
  <si>
    <t>JTIO/725037</t>
  </si>
  <si>
    <t>RFX Ex Tx Pay Loss</t>
  </si>
  <si>
    <t>JTIO/725040</t>
  </si>
  <si>
    <t>RFX Oth Asset Gain</t>
  </si>
  <si>
    <t>JTIO/725041</t>
  </si>
  <si>
    <t>RFX Oth Asset Loss</t>
  </si>
  <si>
    <t>JTIO/725050</t>
  </si>
  <si>
    <t>RFX Oth Liab Gain</t>
  </si>
  <si>
    <t>JTIO/725051</t>
  </si>
  <si>
    <t>RFX Oth Liab Loss</t>
  </si>
  <si>
    <t>JTIO/725055</t>
  </si>
  <si>
    <t>RFX Acc Inc Tax</t>
  </si>
  <si>
    <t>JTIO/725070</t>
  </si>
  <si>
    <t>RFX Borrow Gain</t>
  </si>
  <si>
    <t>JTIO/725071</t>
  </si>
  <si>
    <t>RFX Borrow Loss</t>
  </si>
  <si>
    <t>JTIO/726010</t>
  </si>
  <si>
    <t>RFX Cash Loss</t>
  </si>
  <si>
    <t>JTIO/726020</t>
  </si>
  <si>
    <t>RFX Other AR Loss</t>
  </si>
  <si>
    <t>JTIO/726030</t>
  </si>
  <si>
    <t>RFX Other AP Loss</t>
  </si>
  <si>
    <t>JTIO/727020</t>
  </si>
  <si>
    <t>RFX Ico AR Gain</t>
  </si>
  <si>
    <t>JTIO/727030</t>
  </si>
  <si>
    <t>RFX Ico AP Gain</t>
  </si>
  <si>
    <t>JTIO/727040</t>
  </si>
  <si>
    <t>RFX - I/C Divs Gain</t>
  </si>
  <si>
    <t>JTIO/727041</t>
  </si>
  <si>
    <t>RFX - I/C Divis Loss</t>
  </si>
  <si>
    <t>JTIO/727102</t>
  </si>
  <si>
    <t>RFX.gain.int.der BS</t>
  </si>
  <si>
    <t>JTIO/727105</t>
  </si>
  <si>
    <t>RFX  Lease liab</t>
  </si>
  <si>
    <t>JTIO/728002</t>
  </si>
  <si>
    <t>RFX.loss.int.der BS</t>
  </si>
  <si>
    <t>JTIO/728005</t>
  </si>
  <si>
    <t>JTIO/728020</t>
  </si>
  <si>
    <t>RFX Ico AR Loss</t>
  </si>
  <si>
    <t>JTIO/728030</t>
  </si>
  <si>
    <t>RFX Ico AP Loss</t>
  </si>
  <si>
    <t>JTIO/728050</t>
  </si>
  <si>
    <t>RFX Ico IHB Gain</t>
  </si>
  <si>
    <t>JTIO/728051</t>
  </si>
  <si>
    <t>RFX Ico IHB Loss</t>
  </si>
  <si>
    <t>JTIO/729210</t>
  </si>
  <si>
    <t>Unreal. FX-Cash-Gain</t>
  </si>
  <si>
    <t>JTIO/729290</t>
  </si>
  <si>
    <t>UnrFX-Trd Payab-Gain</t>
  </si>
  <si>
    <t>JTIO/729293</t>
  </si>
  <si>
    <t>UFX-NTM payab gain</t>
  </si>
  <si>
    <t>JTIO/729350</t>
  </si>
  <si>
    <t>UnrFX-OthCurLiabGain</t>
  </si>
  <si>
    <t>JTIO/730215</t>
  </si>
  <si>
    <t>Unreal. FX-Cash-Loss</t>
  </si>
  <si>
    <t>JTIO/730295</t>
  </si>
  <si>
    <t>UnrFX-Trd Payab-Loss</t>
  </si>
  <si>
    <t>JTIO/730298</t>
  </si>
  <si>
    <t>UFX-NTM payab loss</t>
  </si>
  <si>
    <t>JTIO/730315</t>
  </si>
  <si>
    <t>UnrFX-Oth Payab-Loss</t>
  </si>
  <si>
    <t>JTIO/730335</t>
  </si>
  <si>
    <t>UnrFX-Accr Liab-Loss</t>
  </si>
  <si>
    <t>JTIO/730355</t>
  </si>
  <si>
    <t>UnrFX-OthCurLiabLoss</t>
  </si>
  <si>
    <t>JTIO/733040</t>
  </si>
  <si>
    <t>UFX Ico AP Gain</t>
  </si>
  <si>
    <t>JTIO/733042</t>
  </si>
  <si>
    <t>UFX Ico AP Loss</t>
  </si>
  <si>
    <t>JTIO/734010</t>
  </si>
  <si>
    <t>UFX Ico IHB Gain</t>
  </si>
  <si>
    <t>JTIO/734012</t>
  </si>
  <si>
    <t>UFX Ico IHB Loss</t>
  </si>
  <si>
    <t>JTIO/735410</t>
  </si>
  <si>
    <t>Direct Tax Int Exp</t>
  </si>
  <si>
    <t>JTIO/751010</t>
  </si>
  <si>
    <t>Dividend Income</t>
  </si>
  <si>
    <t>JTIO/752010</t>
  </si>
  <si>
    <t>I/C Gain Inv Sent</t>
  </si>
  <si>
    <t>JTIO/752012</t>
  </si>
  <si>
    <t>ICMarkUp</t>
  </si>
  <si>
    <t>JTIO/752016</t>
  </si>
  <si>
    <t>Other I/C (Inc)/Exp</t>
  </si>
  <si>
    <t>JTIO/752018</t>
  </si>
  <si>
    <t>I/C Exps below OCC</t>
  </si>
  <si>
    <t>JTIO/753022</t>
  </si>
  <si>
    <t>DB Pension (finance)</t>
  </si>
  <si>
    <t>JTIO/753026</t>
  </si>
  <si>
    <t>DB Oth PRB (finance)</t>
  </si>
  <si>
    <t>JTIO/753028</t>
  </si>
  <si>
    <t>DB Jubilee (finance)</t>
  </si>
  <si>
    <t>JTIO/757010</t>
  </si>
  <si>
    <t>Discounting</t>
  </si>
  <si>
    <t>JTIO/760010</t>
  </si>
  <si>
    <t>Other Financial Inc</t>
  </si>
  <si>
    <t>JTIO/761010</t>
  </si>
  <si>
    <t>Other Financial Exp</t>
  </si>
  <si>
    <t>JTIO/803010</t>
  </si>
  <si>
    <t>CIT-CurrYearProfits</t>
  </si>
  <si>
    <t>JTIO/803015</t>
  </si>
  <si>
    <t>CIT-true-ups&amp;penalt.</t>
  </si>
  <si>
    <t>JTIO/805010</t>
  </si>
  <si>
    <t>Withholding Tax Roy</t>
  </si>
  <si>
    <t>Result</t>
  </si>
  <si>
    <t>P</t>
  </si>
  <si>
    <t>Primary Costs or Revenue</t>
  </si>
  <si>
    <t>JTIO/302110</t>
  </si>
  <si>
    <t>Sales (auto)</t>
  </si>
  <si>
    <t>JTIO/302210</t>
  </si>
  <si>
    <t>Sales returns (auto)</t>
  </si>
  <si>
    <t>JTIO/304050</t>
  </si>
  <si>
    <t>CM Revenue</t>
  </si>
  <si>
    <t>JTIO/304070</t>
  </si>
  <si>
    <t>GSA Revenue</t>
  </si>
  <si>
    <t>JTIO/304075</t>
  </si>
  <si>
    <t>GSA Revenue (Auto)</t>
  </si>
  <si>
    <t>JTIO/314010</t>
  </si>
  <si>
    <t>Excise Tax - SD</t>
  </si>
  <si>
    <t>JTIO/314020</t>
  </si>
  <si>
    <t>Excise Tax - IDOC</t>
  </si>
  <si>
    <t>JTIO/314038</t>
  </si>
  <si>
    <t>Excise Tax - Manual</t>
  </si>
  <si>
    <t>JTIO/341200</t>
  </si>
  <si>
    <t>Paym all - (auto)</t>
  </si>
  <si>
    <t>JTIO/341400</t>
  </si>
  <si>
    <t>TITP All - (auto)</t>
  </si>
  <si>
    <t>JTIO/341500</t>
  </si>
  <si>
    <t>Dist All - (auto)</t>
  </si>
  <si>
    <t>JTIO/351100</t>
  </si>
  <si>
    <t>Listing Fees</t>
  </si>
  <si>
    <t>JTIO/351300</t>
  </si>
  <si>
    <t>POPM Fees (TEMP)</t>
  </si>
  <si>
    <t>JTIO/351408</t>
  </si>
  <si>
    <t>Retail Allow.–Non-SD</t>
  </si>
  <si>
    <t>JTIO/405050</t>
  </si>
  <si>
    <t>Material Usage FG</t>
  </si>
  <si>
    <t>JTIO/405340</t>
  </si>
  <si>
    <t>ML Var FG (auto)</t>
  </si>
  <si>
    <t>JTIO/407040</t>
  </si>
  <si>
    <t>Fact. Prodn Var Conv</t>
  </si>
  <si>
    <t>JTIO/408010</t>
  </si>
  <si>
    <t>Inventory Reval.</t>
  </si>
  <si>
    <t>JTIO/412011</t>
  </si>
  <si>
    <t>COGS ICManual</t>
  </si>
  <si>
    <t>JTIO/413050</t>
  </si>
  <si>
    <t>VarianceAdj</t>
  </si>
  <si>
    <t>JTIO/414010</t>
  </si>
  <si>
    <t>COGS 3Party</t>
  </si>
  <si>
    <t>JTIO/414011</t>
  </si>
  <si>
    <t>COGS 3PartyManual</t>
  </si>
  <si>
    <t>JTIO/414015</t>
  </si>
  <si>
    <t>COGS3PartyBTB</t>
  </si>
  <si>
    <t>JTIO/414018</t>
  </si>
  <si>
    <t>COGSBTBCstLgSrvSDAdj</t>
  </si>
  <si>
    <t>JTIO/419002</t>
  </si>
  <si>
    <t>Finished Goods PPV</t>
  </si>
  <si>
    <t>JTIO/419009</t>
  </si>
  <si>
    <t>Finished Goods FX</t>
  </si>
  <si>
    <t>JTIO/422010</t>
  </si>
  <si>
    <t>Inv Adj-Cig Gain</t>
  </si>
  <si>
    <t>JTIO/422020</t>
  </si>
  <si>
    <t>Inv Adj-Cig Loss</t>
  </si>
  <si>
    <t>JTIO/422070</t>
  </si>
  <si>
    <t>Inv Adj-Other Gain</t>
  </si>
  <si>
    <t>JTIO/422080</t>
  </si>
  <si>
    <t>Inv Adj-Other Loss</t>
  </si>
  <si>
    <t>JTIO/424000</t>
  </si>
  <si>
    <t>RegulatoryCompliance</t>
  </si>
  <si>
    <t>JTIO/429520</t>
  </si>
  <si>
    <t>Environmental Fee</t>
  </si>
  <si>
    <t>JTIO/430030</t>
  </si>
  <si>
    <t>Logistical serv. exp</t>
  </si>
  <si>
    <t>JTIO/430040</t>
  </si>
  <si>
    <t>Finished Goods Distr</t>
  </si>
  <si>
    <t>JTIO/430042</t>
  </si>
  <si>
    <t>FG distib Exp by SD</t>
  </si>
  <si>
    <t>JTIO/430050</t>
  </si>
  <si>
    <t>Warehousing Expenses</t>
  </si>
  <si>
    <t>JTIO/430059</t>
  </si>
  <si>
    <t>IC RechrgForWarehous</t>
  </si>
  <si>
    <t>JTIO/501250</t>
  </si>
  <si>
    <t>Ext Headcount</t>
  </si>
  <si>
    <t>JTIO/503060</t>
  </si>
  <si>
    <t>Retail Audit</t>
  </si>
  <si>
    <t>JTIO/503061</t>
  </si>
  <si>
    <t>Consumer Tracker</t>
  </si>
  <si>
    <t>JTIO/503062</t>
  </si>
  <si>
    <t>Research costs</t>
  </si>
  <si>
    <t>JTIO/503063</t>
  </si>
  <si>
    <t>Price Portf. Res.</t>
  </si>
  <si>
    <t>JTIO/503064</t>
  </si>
  <si>
    <t>Other St Ins costs</t>
  </si>
  <si>
    <t>JTIO/503066</t>
  </si>
  <si>
    <t>Br/Pr communication</t>
  </si>
  <si>
    <t>JTIO/503067</t>
  </si>
  <si>
    <t>Br/Pr activation</t>
  </si>
  <si>
    <t>JTIO/503068</t>
  </si>
  <si>
    <t>Tr. Medias ads</t>
  </si>
  <si>
    <t>JTIO/503070</t>
  </si>
  <si>
    <t>Trade Activation</t>
  </si>
  <si>
    <t>JTIO/503076</t>
  </si>
  <si>
    <t>Prod &amp; pack. Devel.</t>
  </si>
  <si>
    <t>JTIO/503080</t>
  </si>
  <si>
    <t>Perm. POPMs devel.</t>
  </si>
  <si>
    <t>JTIO/503081</t>
  </si>
  <si>
    <t>Perm. POPMs maint</t>
  </si>
  <si>
    <t>JTIO/503082</t>
  </si>
  <si>
    <t>Merchandizing</t>
  </si>
  <si>
    <t>JTIO/503083</t>
  </si>
  <si>
    <t>Temp. POPMs</t>
  </si>
  <si>
    <t>JTIO/504001</t>
  </si>
  <si>
    <t>MktCostsRecIncome</t>
  </si>
  <si>
    <t>JTIO/509005</t>
  </si>
  <si>
    <t>STAs cross charge</t>
  </si>
  <si>
    <t>JTIO/509010</t>
  </si>
  <si>
    <t>Base Salary / Wages</t>
  </si>
  <si>
    <t>JTIO/509015</t>
  </si>
  <si>
    <t>Salary - Bonus</t>
  </si>
  <si>
    <t>JTIO/509017</t>
  </si>
  <si>
    <t>LTIP -allocation out</t>
  </si>
  <si>
    <t>JTIO/509020</t>
  </si>
  <si>
    <t>Overtime</t>
  </si>
  <si>
    <t>JTIO/509030</t>
  </si>
  <si>
    <t>Accrued Vacation Exp</t>
  </si>
  <si>
    <t>JTIO/510010</t>
  </si>
  <si>
    <t>Salaries - fringe</t>
  </si>
  <si>
    <t>JTIO/510020</t>
  </si>
  <si>
    <t>FringePension</t>
  </si>
  <si>
    <t>JTIO/510022</t>
  </si>
  <si>
    <t>Fringe-DB Pension</t>
  </si>
  <si>
    <t>JTIO/510026</t>
  </si>
  <si>
    <t>Fringe-DB Oth PR Ben</t>
  </si>
  <si>
    <t>JTIO/510028</t>
  </si>
  <si>
    <t>Fringe-DB Jubilee</t>
  </si>
  <si>
    <t>JTIO/510030</t>
  </si>
  <si>
    <t>FringeOther</t>
  </si>
  <si>
    <t>JTIO/510051</t>
  </si>
  <si>
    <t>Fringe-Gen Allowance</t>
  </si>
  <si>
    <t>JTIO/510052</t>
  </si>
  <si>
    <t>Fringe-House&amp;Utility</t>
  </si>
  <si>
    <t>JTIO/510053</t>
  </si>
  <si>
    <t>Fringe-Taxes</t>
  </si>
  <si>
    <t>JTIO/510055</t>
  </si>
  <si>
    <t>Fringe - ESPP</t>
  </si>
  <si>
    <t>JTIO/511010</t>
  </si>
  <si>
    <t>Other Employee Comp</t>
  </si>
  <si>
    <t>JTIO/511110</t>
  </si>
  <si>
    <t>Temp. JTI - Salary</t>
  </si>
  <si>
    <t>JTIO/511210</t>
  </si>
  <si>
    <t>Recruitment</t>
  </si>
  <si>
    <t>JTIO/511215</t>
  </si>
  <si>
    <t>Moving Expenses</t>
  </si>
  <si>
    <t>JTIO/511217</t>
  </si>
  <si>
    <t>Per Diem</t>
  </si>
  <si>
    <t>JTIO/511310</t>
  </si>
  <si>
    <t>Training Costs</t>
  </si>
  <si>
    <t>JTIO/511410</t>
  </si>
  <si>
    <t>T&amp;E - Transportation</t>
  </si>
  <si>
    <t>JTIO/511412</t>
  </si>
  <si>
    <t>T&amp;E-Vehicle expenses</t>
  </si>
  <si>
    <t>JTIO/511415</t>
  </si>
  <si>
    <t>T&amp;E-Food/bevs/entert</t>
  </si>
  <si>
    <t>JTIO/511424</t>
  </si>
  <si>
    <t>Lodge Card Rec acct</t>
  </si>
  <si>
    <t>JTIO/511432</t>
  </si>
  <si>
    <t>T&amp;E-Accom/Facilities</t>
  </si>
  <si>
    <t>JTIO/511433</t>
  </si>
  <si>
    <t>T&amp;E - Other</t>
  </si>
  <si>
    <t>JTIO/511435</t>
  </si>
  <si>
    <t>External Entertain</t>
  </si>
  <si>
    <t>JTIO/511610</t>
  </si>
  <si>
    <t>Memberships and Dues</t>
  </si>
  <si>
    <t>JTIO/511612</t>
  </si>
  <si>
    <t>GiftsHospEnt- NonGov</t>
  </si>
  <si>
    <t>JTIO/511615</t>
  </si>
  <si>
    <t>Contribution-non Gov</t>
  </si>
  <si>
    <t>JTIO/511617</t>
  </si>
  <si>
    <t>Community Investment</t>
  </si>
  <si>
    <t>JTIO/512010</t>
  </si>
  <si>
    <t>Fin Audit DT</t>
  </si>
  <si>
    <t>JTIO/512012</t>
  </si>
  <si>
    <t>Tax Consult DT</t>
  </si>
  <si>
    <t>JTIO/512013</t>
  </si>
  <si>
    <t>Other Serv DT</t>
  </si>
  <si>
    <t>JTIO/512015</t>
  </si>
  <si>
    <t>Fin Audit Non DT</t>
  </si>
  <si>
    <t>JTIO/512020</t>
  </si>
  <si>
    <t>Consultancy Services</t>
  </si>
  <si>
    <t>JTIO/512030</t>
  </si>
  <si>
    <t>Contract Consultancy</t>
  </si>
  <si>
    <t>JTIO/512090</t>
  </si>
  <si>
    <t>Outsource Prod Labor</t>
  </si>
  <si>
    <t>JTIO/512110</t>
  </si>
  <si>
    <t>Gen Manufact Service</t>
  </si>
  <si>
    <t>JTIO/513010</t>
  </si>
  <si>
    <t>Legal - Consultancy</t>
  </si>
  <si>
    <t>JTIO/513020</t>
  </si>
  <si>
    <t>Legal Contract Consu</t>
  </si>
  <si>
    <t>JTIO/518010</t>
  </si>
  <si>
    <t>External Publication</t>
  </si>
  <si>
    <t>JTIO/518020</t>
  </si>
  <si>
    <t>Internal Publication</t>
  </si>
  <si>
    <t>JTIO/521310</t>
  </si>
  <si>
    <t>Depn - Product M&amp;E</t>
  </si>
  <si>
    <t>JTIO/522210</t>
  </si>
  <si>
    <t>Depreciation - Other</t>
  </si>
  <si>
    <t>JTIO/522250</t>
  </si>
  <si>
    <t>LVA depreciation</t>
  </si>
  <si>
    <t>JTIO/526010</t>
  </si>
  <si>
    <t>Computer Exp Purch H</t>
  </si>
  <si>
    <t>JTIO/527010</t>
  </si>
  <si>
    <t>Computer Exp Purch S</t>
  </si>
  <si>
    <t>JTIO/528030</t>
  </si>
  <si>
    <t>Backup and Recovery</t>
  </si>
  <si>
    <t>JTIO/529010</t>
  </si>
  <si>
    <t>Hardware Maintenance</t>
  </si>
  <si>
    <t>JTIO/529020</t>
  </si>
  <si>
    <t>Hardware Repairs</t>
  </si>
  <si>
    <t>JTIO/530010</t>
  </si>
  <si>
    <t>SW Computer Maint</t>
  </si>
  <si>
    <t>JTIO/530015</t>
  </si>
  <si>
    <t>IT Support &amp;HelpDesk</t>
  </si>
  <si>
    <t>JTIO/531010</t>
  </si>
  <si>
    <t>Telephone &amp; Fax</t>
  </si>
  <si>
    <t>JTIO/531020</t>
  </si>
  <si>
    <t>Cellular Phones</t>
  </si>
  <si>
    <t>JTIO/531022</t>
  </si>
  <si>
    <t>Postage</t>
  </si>
  <si>
    <t>JTIO/531024</t>
  </si>
  <si>
    <t>Network</t>
  </si>
  <si>
    <t>JTIO/531030</t>
  </si>
  <si>
    <t>Other Communication</t>
  </si>
  <si>
    <t>JTIO/532000</t>
  </si>
  <si>
    <t>CleaningServ</t>
  </si>
  <si>
    <t>JTIO/532010</t>
  </si>
  <si>
    <t>Cafeteria Services</t>
  </si>
  <si>
    <t>JTIO/532020</t>
  </si>
  <si>
    <t>Security Services</t>
  </si>
  <si>
    <t>JTIO/532030</t>
  </si>
  <si>
    <t>Waste Removal Serv</t>
  </si>
  <si>
    <t>JTIO/532040</t>
  </si>
  <si>
    <t>Med, Health, Safety</t>
  </si>
  <si>
    <t>JTIO/532050</t>
  </si>
  <si>
    <t>Outsource Good Trans</t>
  </si>
  <si>
    <t>JTIO/532055</t>
  </si>
  <si>
    <t>Transportation emplo</t>
  </si>
  <si>
    <t>JTIO/532070</t>
  </si>
  <si>
    <t>Fumigation Serv RM</t>
  </si>
  <si>
    <t>JTIO/532088</t>
  </si>
  <si>
    <t>Other Services</t>
  </si>
  <si>
    <t>JTIO/532090</t>
  </si>
  <si>
    <t>Laboratory Costs</t>
  </si>
  <si>
    <t>JTIO/533020</t>
  </si>
  <si>
    <t>Cafeteria Supplies</t>
  </si>
  <si>
    <t>JTIO/533030</t>
  </si>
  <si>
    <t>Office Supplies</t>
  </si>
  <si>
    <t>JTIO/533035</t>
  </si>
  <si>
    <t>Cleaning Materials</t>
  </si>
  <si>
    <t>JTIO/533040</t>
  </si>
  <si>
    <t>Uniforms</t>
  </si>
  <si>
    <t>JTIO/533045</t>
  </si>
  <si>
    <t>OthManSup&amp;NonBOM Mat</t>
  </si>
  <si>
    <t>JTIO/534020</t>
  </si>
  <si>
    <t>Lease Vehicles Var.</t>
  </si>
  <si>
    <t>JTIO/534025</t>
  </si>
  <si>
    <t>LeaseEx Vehic ST/TX</t>
  </si>
  <si>
    <t>JTIO/534030</t>
  </si>
  <si>
    <t>Lease Buildings Var.</t>
  </si>
  <si>
    <t>JTIO/534035</t>
  </si>
  <si>
    <t>LeaseEx Build ST/TX</t>
  </si>
  <si>
    <t>JTIO/534040</t>
  </si>
  <si>
    <t>Lease Hardware Var.</t>
  </si>
  <si>
    <t>JTIO/534045</t>
  </si>
  <si>
    <t>LeaseEx Hardwr ST/TX</t>
  </si>
  <si>
    <t>JTIO/534050</t>
  </si>
  <si>
    <t>Lease MachEquip Var.</t>
  </si>
  <si>
    <t>JTIO/534055</t>
  </si>
  <si>
    <t>LeaseEx MachEq ST/TX</t>
  </si>
  <si>
    <t>JTIO/534080</t>
  </si>
  <si>
    <t>Depr RoU Lease</t>
  </si>
  <si>
    <t>JTIO/534095</t>
  </si>
  <si>
    <t>Ex.LeaseCost-ShTerm</t>
  </si>
  <si>
    <t>JTIO/535010</t>
  </si>
  <si>
    <t>Electricity</t>
  </si>
  <si>
    <t>JTIO/535020</t>
  </si>
  <si>
    <t>Water</t>
  </si>
  <si>
    <t>JTIO/535030</t>
  </si>
  <si>
    <t>Gas</t>
  </si>
  <si>
    <t>JTIO/536120</t>
  </si>
  <si>
    <t>Bldgs Maint Rep Serv</t>
  </si>
  <si>
    <t>JTIO/536121</t>
  </si>
  <si>
    <t>Bldgs Maint Rep Mats</t>
  </si>
  <si>
    <t>JTIO/536130</t>
  </si>
  <si>
    <t>M&amp;R serv prod M&amp;E</t>
  </si>
  <si>
    <t>JTIO/536131</t>
  </si>
  <si>
    <t>M&amp;Eq Maint&amp;Rep-Mater</t>
  </si>
  <si>
    <t>JTIO/536135</t>
  </si>
  <si>
    <t>M&amp;R serv nonprod M&amp;E</t>
  </si>
  <si>
    <t>JTIO/536136</t>
  </si>
  <si>
    <t>M&amp;R Mat non PRD M&amp;E</t>
  </si>
  <si>
    <t>JTIO/536150</t>
  </si>
  <si>
    <t>Vehicle expenses</t>
  </si>
  <si>
    <t>JTIO/536310</t>
  </si>
  <si>
    <t>SpareParts &amp; Oth M&amp;E</t>
  </si>
  <si>
    <t>JTIO/536320</t>
  </si>
  <si>
    <t>PPVnonProdnMaterials</t>
  </si>
  <si>
    <t>JTIO/536325</t>
  </si>
  <si>
    <t>InventRevaltnAdj-SP</t>
  </si>
  <si>
    <t>JTIO/537010</t>
  </si>
  <si>
    <t>Liability insurance</t>
  </si>
  <si>
    <t>JTIO/537030</t>
  </si>
  <si>
    <t>Property loc insur</t>
  </si>
  <si>
    <t>JTIO/537060</t>
  </si>
  <si>
    <t>Other insurance</t>
  </si>
  <si>
    <t>JTIO/538010</t>
  </si>
  <si>
    <t>ProdCost relat taxes</t>
  </si>
  <si>
    <t>JTIO/539010</t>
  </si>
  <si>
    <t>Allocations In/Out</t>
  </si>
  <si>
    <t>JTIO/539020</t>
  </si>
  <si>
    <t>Allocations (Out)</t>
  </si>
  <si>
    <t>JTIO/541010</t>
  </si>
  <si>
    <t>Sundry Expenses</t>
  </si>
  <si>
    <t>JTIO/541011</t>
  </si>
  <si>
    <t>Other Inc G&amp;A, Sell</t>
  </si>
  <si>
    <t>JTIO/541012</t>
  </si>
  <si>
    <t>Other Expense</t>
  </si>
  <si>
    <t>JTIO/541014</t>
  </si>
  <si>
    <t>TestMatsForResearch</t>
  </si>
  <si>
    <t>JTIO/545010</t>
  </si>
  <si>
    <t>CAPEX Transit</t>
  </si>
  <si>
    <t>JTIO/603100</t>
  </si>
  <si>
    <t>Irrecoverable ET</t>
  </si>
  <si>
    <t>JTIO/603268</t>
  </si>
  <si>
    <t>WriteOffsFGs(PO+WBS)</t>
  </si>
  <si>
    <t>JTIO/603500</t>
  </si>
  <si>
    <t>Write Offs NTM</t>
  </si>
  <si>
    <t>JTIO/605010</t>
  </si>
  <si>
    <t>Gain Sale Other FA</t>
  </si>
  <si>
    <t>JTIO/605020</t>
  </si>
  <si>
    <t>GainSaleICtang.asset</t>
  </si>
  <si>
    <t>JTIO/606010</t>
  </si>
  <si>
    <t>Loss Sale Other FA</t>
  </si>
  <si>
    <t>JTIO/606020</t>
  </si>
  <si>
    <t>LossSaleICtang.asset</t>
  </si>
  <si>
    <t>JTIO/607010</t>
  </si>
  <si>
    <t>Loss Ret FA w/o rev</t>
  </si>
  <si>
    <t>JTIO/613010</t>
  </si>
  <si>
    <t>Impairment Loss</t>
  </si>
  <si>
    <t>JTIO/616010</t>
  </si>
  <si>
    <t>Othr Misc Op Inc</t>
  </si>
  <si>
    <t>JTIO/616020</t>
  </si>
  <si>
    <t>OthrMiscOperExpenses</t>
  </si>
  <si>
    <t>JTIO/617010</t>
  </si>
  <si>
    <t>Bank Fees Transfer</t>
  </si>
  <si>
    <t>JTIO/617020</t>
  </si>
  <si>
    <t>Bank Fees Acc. Maint</t>
  </si>
  <si>
    <t>JTIO/617030</t>
  </si>
  <si>
    <t>Other Bank Fees</t>
  </si>
  <si>
    <t>S</t>
  </si>
  <si>
    <t>Secondary Costs</t>
  </si>
  <si>
    <t>JTIO/921001</t>
  </si>
  <si>
    <t>IC Allocation-G&amp;A 1</t>
  </si>
  <si>
    <t>JTIO/921002</t>
  </si>
  <si>
    <t>IC Allocation-G&amp;A 2</t>
  </si>
  <si>
    <t>JTIO/921003</t>
  </si>
  <si>
    <t>IC Allocation-G&amp;A 3</t>
  </si>
  <si>
    <t>JTIO/921004</t>
  </si>
  <si>
    <t>IC Allocation-G&amp;A 4</t>
  </si>
  <si>
    <t>JTIO/921005</t>
  </si>
  <si>
    <t>IC Allocation-G&amp;A 5</t>
  </si>
  <si>
    <t>JTIO/921006</t>
  </si>
  <si>
    <t>IC Allocation-G&amp;A 6</t>
  </si>
  <si>
    <t>Document number</t>
  </si>
  <si>
    <t>1710001065</t>
  </si>
  <si>
    <t>1710001755</t>
  </si>
  <si>
    <t>1710002437</t>
  </si>
  <si>
    <t>1710003684</t>
  </si>
  <si>
    <t>1710005147</t>
  </si>
  <si>
    <t>1710005763</t>
  </si>
  <si>
    <t>1720000968</t>
  </si>
  <si>
    <t>1720001840</t>
  </si>
  <si>
    <t>1720002202</t>
  </si>
  <si>
    <t>1720003283</t>
  </si>
  <si>
    <t>1720004245</t>
  </si>
  <si>
    <t>1720005567</t>
  </si>
  <si>
    <t>7710000378</t>
  </si>
  <si>
    <t>7710000401</t>
  </si>
  <si>
    <t>7710000960</t>
  </si>
  <si>
    <t>7710001352</t>
  </si>
  <si>
    <t>7710001729</t>
  </si>
  <si>
    <t>7710002422</t>
  </si>
  <si>
    <t>7720000017</t>
  </si>
  <si>
    <t>7720000018</t>
  </si>
  <si>
    <t>7720000019</t>
  </si>
  <si>
    <t>7720000020</t>
  </si>
  <si>
    <t>7720000029</t>
  </si>
  <si>
    <t>7720000030</t>
  </si>
  <si>
    <t>7720000031</t>
  </si>
  <si>
    <t>7720000032</t>
  </si>
  <si>
    <t>7720000037</t>
  </si>
  <si>
    <t>7720000038</t>
  </si>
  <si>
    <t>7720000039</t>
  </si>
  <si>
    <t>7720000040</t>
  </si>
  <si>
    <t>7720000045</t>
  </si>
  <si>
    <t>7720000046</t>
  </si>
  <si>
    <t>7720000047</t>
  </si>
  <si>
    <t>7720000048</t>
  </si>
  <si>
    <t>7720000053</t>
  </si>
  <si>
    <t>7720000054</t>
  </si>
  <si>
    <t>7720000055</t>
  </si>
  <si>
    <t>7720000056</t>
  </si>
  <si>
    <t>7720000062</t>
  </si>
  <si>
    <t>7720000063</t>
  </si>
  <si>
    <t>7720000064</t>
  </si>
  <si>
    <t>7720000065</t>
  </si>
  <si>
    <t>1710005766</t>
  </si>
  <si>
    <t>7700000079</t>
  </si>
  <si>
    <t>1710002644</t>
  </si>
  <si>
    <t>1710005906</t>
  </si>
  <si>
    <t>1720002377</t>
  </si>
  <si>
    <t>1720005646</t>
  </si>
  <si>
    <t>7600000121</t>
  </si>
  <si>
    <t>7600000122</t>
  </si>
  <si>
    <t>7600000123</t>
  </si>
  <si>
    <t>7600000124</t>
  </si>
  <si>
    <t>7600000125</t>
  </si>
  <si>
    <t>7600000126</t>
  </si>
  <si>
    <t>7600000127</t>
  </si>
  <si>
    <t>7600000128</t>
  </si>
  <si>
    <t>7600002317</t>
  </si>
  <si>
    <t>7600002318</t>
  </si>
  <si>
    <t>7600002319</t>
  </si>
  <si>
    <t>7600002320</t>
  </si>
  <si>
    <t>7600002321</t>
  </si>
  <si>
    <t>7600002322</t>
  </si>
  <si>
    <t>7600002323</t>
  </si>
  <si>
    <t>9400042279</t>
  </si>
  <si>
    <t>9400042569</t>
  </si>
  <si>
    <t>5000026348</t>
  </si>
  <si>
    <t>5000027019</t>
  </si>
  <si>
    <t>5000027021</t>
  </si>
  <si>
    <t>5000028679</t>
  </si>
  <si>
    <t>5000028680</t>
  </si>
  <si>
    <t>5000028681</t>
  </si>
  <si>
    <t>5000028811</t>
  </si>
  <si>
    <t>5000029608</t>
  </si>
  <si>
    <t>5000032144</t>
  </si>
  <si>
    <t>5121004732</t>
  </si>
  <si>
    <t>5121008994</t>
  </si>
  <si>
    <t>5121014825</t>
  </si>
  <si>
    <t>5121014827</t>
  </si>
  <si>
    <t>5121020205</t>
  </si>
  <si>
    <t>5121020212</t>
  </si>
  <si>
    <t>5121020852</t>
  </si>
  <si>
    <t>5121021979</t>
  </si>
  <si>
    <t>5121021980</t>
  </si>
  <si>
    <t>5121021982</t>
  </si>
  <si>
    <t>5121037393</t>
  </si>
  <si>
    <t>7600000041</t>
  </si>
  <si>
    <t>7700000007</t>
  </si>
  <si>
    <t>7700000026</t>
  </si>
  <si>
    <t>7710000391</t>
  </si>
  <si>
    <t>7710000951</t>
  </si>
  <si>
    <t>8221000015</t>
  </si>
  <si>
    <t>8621000107</t>
  </si>
  <si>
    <t>8621000108</t>
  </si>
  <si>
    <t>9400042097</t>
  </si>
  <si>
    <t>9400042098</t>
  </si>
  <si>
    <t>9400042103</t>
  </si>
  <si>
    <t>9400042146</t>
  </si>
  <si>
    <t>9400042180</t>
  </si>
  <si>
    <t>9400042189</t>
  </si>
  <si>
    <t>9400042208</t>
  </si>
  <si>
    <t>9400042222</t>
  </si>
  <si>
    <t>9400042234</t>
  </si>
  <si>
    <t>9400042242</t>
  </si>
  <si>
    <t>9400042271</t>
  </si>
  <si>
    <t>9400042334</t>
  </si>
  <si>
    <t>9400042364</t>
  </si>
  <si>
    <t>9400042373</t>
  </si>
  <si>
    <t>9400042377</t>
  </si>
  <si>
    <t>9400042452</t>
  </si>
  <si>
    <t>9400042458</t>
  </si>
  <si>
    <t>9400042469</t>
  </si>
  <si>
    <t>9400042487</t>
  </si>
  <si>
    <t>9400042518</t>
  </si>
  <si>
    <t>9400042539</t>
  </si>
  <si>
    <t>9400042568</t>
  </si>
  <si>
    <t>9400042576</t>
  </si>
  <si>
    <t>9400042635</t>
  </si>
  <si>
    <t>9400042636</t>
  </si>
  <si>
    <t>9600013128</t>
  </si>
  <si>
    <t>9600013135</t>
  </si>
  <si>
    <t>9600013149</t>
  </si>
  <si>
    <t>9600013156</t>
  </si>
  <si>
    <t>9600013161</t>
  </si>
  <si>
    <t>9600013166</t>
  </si>
  <si>
    <t>9600013169</t>
  </si>
  <si>
    <t>9600013179</t>
  </si>
  <si>
    <t>9600013183</t>
  </si>
  <si>
    <t>9600013191</t>
  </si>
  <si>
    <t>9600013197</t>
  </si>
  <si>
    <t>9600013204</t>
  </si>
  <si>
    <t>9600013216</t>
  </si>
  <si>
    <t>9600013218</t>
  </si>
  <si>
    <t>9600013226</t>
  </si>
  <si>
    <t>9600013235</t>
  </si>
  <si>
    <t>9600013246</t>
  </si>
  <si>
    <t>9600013251</t>
  </si>
  <si>
    <t>9600013253</t>
  </si>
  <si>
    <t>9600013256</t>
  </si>
  <si>
    <t>9600013267</t>
  </si>
  <si>
    <t>9600013271</t>
  </si>
  <si>
    <t>9600013291</t>
  </si>
  <si>
    <t>9600013292</t>
  </si>
  <si>
    <t>9600013302</t>
  </si>
  <si>
    <t>9600013306</t>
  </si>
  <si>
    <t>9600013311</t>
  </si>
  <si>
    <t>9600013316</t>
  </si>
  <si>
    <t>9600013325</t>
  </si>
  <si>
    <t>9600013337</t>
  </si>
  <si>
    <t>9600013338</t>
  </si>
  <si>
    <t>9600013339</t>
  </si>
  <si>
    <t>9600013343</t>
  </si>
  <si>
    <t>9600013345</t>
  </si>
  <si>
    <t>9600013346</t>
  </si>
  <si>
    <t>9600013360</t>
  </si>
  <si>
    <t>9600013364</t>
  </si>
  <si>
    <t>9600013376</t>
  </si>
  <si>
    <t>9600013381</t>
  </si>
  <si>
    <t>9600013384</t>
  </si>
  <si>
    <t>9600013391</t>
  </si>
  <si>
    <t>9600013396</t>
  </si>
  <si>
    <t>9600013418</t>
  </si>
  <si>
    <t>9600013423</t>
  </si>
  <si>
    <t>9600013438</t>
  </si>
  <si>
    <t>9600013440</t>
  </si>
  <si>
    <t>9600013464</t>
  </si>
  <si>
    <t>9600013470</t>
  </si>
  <si>
    <t>9600013485</t>
  </si>
  <si>
    <t>9600013492</t>
  </si>
  <si>
    <t>9600013496</t>
  </si>
  <si>
    <t>9600013507</t>
  </si>
  <si>
    <t>9600013510</t>
  </si>
  <si>
    <t>9600013511</t>
  </si>
  <si>
    <t>9600013520</t>
  </si>
  <si>
    <t>9600013529</t>
  </si>
  <si>
    <t>9600013530</t>
  </si>
  <si>
    <t>9600013536</t>
  </si>
  <si>
    <t>9600013544</t>
  </si>
  <si>
    <t>9600013560</t>
  </si>
  <si>
    <t>9600013562</t>
  </si>
  <si>
    <t>9600013564</t>
  </si>
  <si>
    <t>9600013573</t>
  </si>
  <si>
    <t>9600013574</t>
  </si>
  <si>
    <t>9600013581</t>
  </si>
  <si>
    <t>9600013586</t>
  </si>
  <si>
    <t>9600013612</t>
  </si>
  <si>
    <t>9600013628</t>
  </si>
  <si>
    <t>9600013634</t>
  </si>
  <si>
    <t>9600013638</t>
  </si>
  <si>
    <t>9600013671</t>
  </si>
  <si>
    <t>9600013676</t>
  </si>
  <si>
    <t>9600013682</t>
  </si>
  <si>
    <t>9600013688</t>
  </si>
  <si>
    <t>9600013694</t>
  </si>
  <si>
    <t>9600013712</t>
  </si>
  <si>
    <t>9600013720</t>
  </si>
  <si>
    <t>9600013723</t>
  </si>
  <si>
    <t>9600013731</t>
  </si>
  <si>
    <t>9600013741</t>
  </si>
  <si>
    <t>9600013746</t>
  </si>
  <si>
    <t>9600013750</t>
  </si>
  <si>
    <t>9600013751</t>
  </si>
  <si>
    <t>9600013760</t>
  </si>
  <si>
    <t>9600013763</t>
  </si>
  <si>
    <t>9600013766</t>
  </si>
  <si>
    <t>9600013770</t>
  </si>
  <si>
    <t>9600013774</t>
  </si>
  <si>
    <t>9600013804</t>
  </si>
  <si>
    <t>9600013826</t>
  </si>
  <si>
    <t>9600013829</t>
  </si>
  <si>
    <t>9600013837</t>
  </si>
  <si>
    <t>9600013848</t>
  </si>
  <si>
    <t>9600013868</t>
  </si>
  <si>
    <t>9600013878</t>
  </si>
  <si>
    <t>9600013882</t>
  </si>
  <si>
    <t>9600013892</t>
  </si>
  <si>
    <t>9600013895</t>
  </si>
  <si>
    <t>9600013897</t>
  </si>
  <si>
    <t>9600013903</t>
  </si>
  <si>
    <t>9600013911</t>
  </si>
  <si>
    <t>9600013913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</si>
</sst>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,000"/>
    <numFmt numFmtId="165" formatCode="&quot;           &quot;@"/>
    <numFmt numFmtId="166" formatCode="&quot;    [-] &quot;@"/>
    <numFmt numFmtId="167" formatCode="&quot;  [-] &quot;@"/>
    <numFmt numFmtId="168" formatCode="&quot;         &quot;@"/>
    <numFmt numFmtId="169" formatCode="#,##0.00_ ;\-#,##0.00\ 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646464"/>
      <name val="Arial"/>
      <family val="2"/>
    </font>
    <font>
      <b/>
      <sz val="9"/>
      <color rgb="FF646464"/>
      <name val="Arial"/>
      <family val="2"/>
    </font>
    <font>
      <b/>
      <sz val="9"/>
      <color theme="9" tint="-0.24994659260841701"/>
      <name val="Arial"/>
      <family val="2"/>
    </font>
    <font>
      <b/>
      <sz val="9"/>
      <color rgb="FFFF9900"/>
      <name val="Arial"/>
      <family val="2"/>
    </font>
    <font>
      <b/>
      <sz val="9"/>
      <color rgb="FFC00000"/>
      <name val="Arial"/>
      <family val="2"/>
    </font>
    <font>
      <sz val="8"/>
      <color rgb="FF000000"/>
      <name val="Arial"/>
      <family val="2"/>
    </font>
    <font>
      <sz val="9"/>
      <color rgb="FFDBE5F1"/>
      <name val="Arial"/>
      <family val="2"/>
    </font>
    <font>
      <i/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i/>
      <sz val="9"/>
      <color rgb="FF646464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C8EADB"/>
        <bgColor rgb="FF000000"/>
      </patternFill>
    </fill>
    <fill>
      <patternFill patternType="solid">
        <fgColor rgb="FFC8EADB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E6E6E6"/>
        <bgColor rgb="FF000000"/>
      </patternFill>
    </fill>
    <fill>
      <patternFill patternType="solid">
        <fgColor rgb="FFC6F9D5"/>
        <bgColor rgb="FF000000"/>
      </patternFill>
    </fill>
    <fill>
      <patternFill patternType="solid">
        <fgColor rgb="FFAFE4C3"/>
        <bgColor rgb="FF000000"/>
      </patternFill>
    </fill>
    <fill>
      <patternFill patternType="solid">
        <fgColor rgb="FF98CFB1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A3DBC2"/>
        <bgColor rgb="FF000000"/>
      </patternFill>
    </fill>
    <fill>
      <patternFill patternType="solid">
        <fgColor rgb="FFB5E3CF"/>
        <bgColor rgb="FF000000"/>
      </patternFill>
    </fill>
    <fill>
      <patternFill patternType="solid">
        <fgColor rgb="FFDAF1E7"/>
        <bgColor rgb="FF000000"/>
      </patternFill>
    </fill>
    <fill>
      <patternFill patternType="solid">
        <fgColor rgb="FFEDF8F3"/>
        <bgColor rgb="FF000000"/>
      </patternFill>
    </fill>
    <fill>
      <patternFill patternType="solid">
        <fgColor rgb="FFF0F8F3"/>
        <bgColor rgb="FF000000"/>
      </patternFill>
    </fill>
    <fill>
      <patternFill patternType="solid">
        <fgColor rgb="FFF3F8F3"/>
        <bgColor rgb="FF000000"/>
      </patternFill>
    </fill>
    <fill>
      <patternFill patternType="solid">
        <fgColor rgb="FFF6F8F3"/>
        <bgColor rgb="FF000000"/>
      </patternFill>
    </fill>
    <fill>
      <patternFill patternType="solid">
        <fgColor rgb="FFF9F8F3"/>
        <bgColor rgb="FF000000"/>
      </patternFill>
    </fill>
    <fill>
      <patternFill patternType="solid">
        <fgColor rgb="FFFCF8F3"/>
        <bgColor rgb="FF000000"/>
      </patternFill>
    </fill>
  </fills>
  <borders count="9">
    <border>
      <left/>
      <right/>
      <top/>
      <bottom/>
      <diagonal/>
    </border>
    <border>
      <left style="thin">
        <color rgb="FFACB9CA"/>
      </left>
      <right style="thin">
        <color rgb="FFACB9CA"/>
      </right>
      <top style="thin">
        <color rgb="FFACB9CA"/>
      </top>
      <bottom style="thin">
        <color rgb="FFACB9CA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CB9CA"/>
      </left>
      <right style="thin">
        <color rgb="FFACB9CA"/>
      </right>
      <top/>
      <bottom/>
      <diagonal/>
    </border>
    <border>
      <left style="thin">
        <color rgb="FFACB9CA"/>
      </left>
      <right/>
      <top/>
      <bottom/>
      <diagonal/>
    </border>
  </borders>
  <cellStyleXfs count="45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1" applyNumberFormat="0" applyProtection="0">
      <alignment vertical="center" wrapText="1"/>
    </xf>
    <xf numFmtId="164" fontId="1" fillId="0" borderId="1" applyNumberFormat="0" applyProtection="0">
      <alignment vertical="center" wrapText="1"/>
    </xf>
    <xf numFmtId="164" fontId="2" fillId="3" borderId="1" applyNumberFormat="0" applyAlignment="0" applyProtection="0">
      <alignment horizontal="left" vertical="center" indent="1"/>
    </xf>
    <xf numFmtId="0" fontId="2" fillId="4" borderId="2" applyAlignment="0">
      <alignment horizontal="left" vertical="center" indent="1"/>
      <protection locked="0"/>
    </xf>
    <xf numFmtId="0" fontId="2" fillId="5" borderId="1" applyNumberFormat="0" applyProtection="0">
      <alignment vertical="center" wrapText="1"/>
    </xf>
    <xf numFmtId="164" fontId="3" fillId="5" borderId="3" applyNumberFormat="0" applyBorder="0">
      <alignment vertical="center" wrapText="1"/>
      <protection locked="0"/>
    </xf>
    <xf numFmtId="0" fontId="2" fillId="4" borderId="2" applyAlignment="0">
      <alignment horizontal="left" vertical="center" indent="1"/>
      <protection locked="0"/>
    </xf>
    <xf numFmtId="164" fontId="1" fillId="5" borderId="1" applyNumberFormat="0" applyProtection="0">
      <alignment vertical="center" wrapText="1"/>
    </xf>
    <xf numFmtId="164" fontId="4" fillId="5" borderId="2" applyNumberFormat="0" applyBorder="0">
      <alignment vertical="center" wrapText="1"/>
      <protection locked="0"/>
    </xf>
    <xf numFmtId="164" fontId="5" fillId="6" borderId="4" applyNumberFormat="0" applyBorder="0" applyAlignment="0" applyProtection="0">
      <alignment horizontal="right" vertical="center" indent="1"/>
    </xf>
    <xf numFmtId="164" fontId="5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6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7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49" fontId="9" fillId="3" borderId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64" fontId="2" fillId="0" borderId="3" applyNumberFormat="0" applyFill="0" applyBorder="0" applyAlignment="0" applyProtection="0">
      <alignment horizontal="right" vertical="center"/>
    </xf>
    <xf numFmtId="164" fontId="2" fillId="3" borderId="1" applyNumberFormat="0" applyProtection="0">
      <alignment horizontal="left" vertical="center" wrapText="1"/>
    </xf>
    <xf numFmtId="0" fontId="1" fillId="2" borderId="1" applyNumberFormat="0" applyProtection="0">
      <alignment horizontal="left" vertical="center" wrapText="1"/>
    </xf>
    <xf numFmtId="0" fontId="2" fillId="15" borderId="1" applyNumberFormat="0" applyProtection="0">
      <alignment horizontal="left" vertical="center" wrapText="1"/>
    </xf>
    <xf numFmtId="0" fontId="2" fillId="16" borderId="1" applyNumberFormat="0" applyProtection="0">
      <alignment horizontal="left" vertical="center" wrapText="1"/>
    </xf>
    <xf numFmtId="0" fontId="2" fillId="2" borderId="1" applyNumberFormat="0" applyProtection="0">
      <alignment horizontal="left" vertical="center" wrapText="1"/>
    </xf>
    <xf numFmtId="0" fontId="2" fillId="17" borderId="1" applyNumberFormat="0" applyProtection="0">
      <alignment horizontal="left" vertical="center" wrapText="1"/>
    </xf>
    <xf numFmtId="0" fontId="2" fillId="18" borderId="1" applyNumberFormat="0" applyProtection="0">
      <alignment horizontal="left" vertical="center" wrapText="1"/>
    </xf>
    <xf numFmtId="165" fontId="2" fillId="19" borderId="1" applyNumberFormat="0" applyProtection="0">
      <alignment horizontal="left" vertical="center" wrapText="1"/>
    </xf>
    <xf numFmtId="166" fontId="2" fillId="20" borderId="1" applyNumberFormat="0" applyProtection="0">
      <alignment horizontal="left" vertical="center" wrapText="1"/>
    </xf>
    <xf numFmtId="165" fontId="2" fillId="21" borderId="1" applyNumberFormat="0" applyProtection="0">
      <alignment horizontal="left" vertical="center" wrapText="1"/>
    </xf>
    <xf numFmtId="167" fontId="2" fillId="22" borderId="1" applyNumberFormat="0" applyProtection="0">
      <alignment horizontal="left" vertical="center" wrapText="1"/>
    </xf>
    <xf numFmtId="168" fontId="2" fillId="23" borderId="1" applyNumberFormat="0" applyProtection="0">
      <alignment horizontal="left" vertical="center" wrapTex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1" applyNumberFormat="0" applyAlignment="0">
      <alignment horizontal="left" vertical="center" indent="1"/>
      <protection locked="0"/>
    </xf>
    <xf numFmtId="0" fontId="10" fillId="4" borderId="1" applyNumberFormat="0" applyAlignment="0">
      <alignment horizontal="left" vertical="center" indent="1"/>
      <protection locked="0"/>
    </xf>
    <xf numFmtId="0" fontId="10" fillId="5" borderId="1" applyNumberFormat="0" applyAlignment="0" applyProtection="0">
      <alignment horizontal="left" vertical="center" indent="1"/>
    </xf>
    <xf numFmtId="164" fontId="11" fillId="5" borderId="1" applyNumberFormat="0" applyProtection="0">
      <alignment horizontal="right" vertical="center"/>
    </xf>
    <xf numFmtId="164" fontId="10" fillId="5" borderId="3" applyNumberFormat="0" applyBorder="0">
      <alignment horizontal="right" vertical="center"/>
      <protection locked="0"/>
    </xf>
    <xf numFmtId="164" fontId="12" fillId="5" borderId="2" applyNumberFormat="0" applyBorder="0">
      <alignment horizontal="right" vertical="center"/>
      <protection locked="0"/>
    </xf>
    <xf numFmtId="164" fontId="2" fillId="0" borderId="3" applyNumberFormat="0" applyFill="0" applyBorder="0" applyAlignment="0" applyProtection="0">
      <alignment horizontal="right" vertical="center"/>
    </xf>
  </cellStyleXfs>
  <cellXfs count="14">
    <xf numFmtId="0" fontId="0" fillId="0" borderId="0" xfId="0"/>
    <xf numFmtId="0" fontId="2" fillId="3" borderId="1" xfId="24" applyNumberFormat="1">
      <alignment horizontal="left" vertical="center" wrapText="1"/>
    </xf>
    <xf numFmtId="39" fontId="2" fillId="0" borderId="1" xfId="2" applyNumberFormat="1">
      <alignment vertical="center" wrapText="1"/>
    </xf>
    <xf numFmtId="0" fontId="1" fillId="2" borderId="1" xfId="1" applyNumberFormat="1" applyAlignment="1"/>
    <xf numFmtId="0" fontId="1" fillId="2" borderId="1" xfId="1" quotePrefix="1" applyNumberFormat="1" applyAlignment="1"/>
    <xf numFmtId="0" fontId="2" fillId="3" borderId="1" xfId="24" quotePrefix="1" applyNumberFormat="1">
      <alignment horizontal="left" vertical="center" wrapText="1"/>
    </xf>
    <xf numFmtId="0" fontId="2" fillId="3" borderId="1" xfId="24" quotePrefix="1" applyNumberFormat="1" applyAlignment="1">
      <alignment horizontal="right" vertical="center" wrapText="1"/>
    </xf>
    <xf numFmtId="0" fontId="1" fillId="2" borderId="1" xfId="25" applyNumberFormat="1">
      <alignment horizontal="left" vertical="center" wrapText="1"/>
    </xf>
    <xf numFmtId="39" fontId="1" fillId="0" borderId="1" xfId="3" applyNumberFormat="1">
      <alignment vertical="center" wrapText="1"/>
    </xf>
    <xf numFmtId="0" fontId="1" fillId="2" borderId="1" xfId="25" quotePrefix="1" applyNumberFormat="1">
      <alignment horizontal="left" vertical="center" wrapText="1"/>
    </xf>
    <xf numFmtId="0" fontId="2" fillId="3" borderId="7" xfId="24" applyNumberFormat="1" applyBorder="1">
      <alignment horizontal="left" vertical="center" wrapText="1"/>
    </xf>
    <xf numFmtId="169" fontId="0" fillId="0" borderId="0" xfId="0" applyNumberFormat="1"/>
    <xf numFmtId="0" fontId="2" fillId="3" borderId="8" xfId="24" applyNumberFormat="1" applyBorder="1" applyAlignment="1">
      <alignment horizontal="right" vertical="center" wrapText="1"/>
    </xf>
    <xf numFmtId="0" fontId="2" fillId="3" borderId="7" xfId="24" applyNumberFormat="1" applyBorder="1" applyAlignment="1">
      <alignment horizontal="right" vertical="center" wrapText="1"/>
    </xf>
  </cellXfs>
  <cellStyles count="45">
    <cellStyle name="Normal" xfId="0" builtinId="0"/>
    <cellStyle name="SAPBorder" xfId="20" xr:uid="{065B91F6-780D-4951-A8C4-CEC2C5DB1104}"/>
    <cellStyle name="SAPDataCell" xfId="2" xr:uid="{5A1D1B89-E582-4C76-A367-9C62F3AC5DF6}"/>
    <cellStyle name="SAPDataRemoved" xfId="21" xr:uid="{DC7C0067-8A1E-4DC1-B2C8-E3D6F74E0F07}"/>
    <cellStyle name="SAPDataTotalCell" xfId="3" xr:uid="{820ABE08-186B-4B0C-8C3C-9E39019AC0E5}"/>
    <cellStyle name="SAPDimensionCell" xfId="1" xr:uid="{BE4550F9-3C7D-4FAF-A2C1-D5B1B297531D}"/>
    <cellStyle name="SAPEditableDataCell" xfId="5" xr:uid="{71CBAFA1-A4D9-4B4D-A060-B0620E77EF5F}"/>
    <cellStyle name="SAPEditableDataTotalCell" xfId="8" xr:uid="{F54FE89E-35A6-4A8C-ABA1-F7404C356E64}"/>
    <cellStyle name="SAPEmphasized" xfId="36" xr:uid="{0E6681E9-05BB-4F7C-ADBE-3C1C04E1C7B8}"/>
    <cellStyle name="SAPEmphasizedEditableDataCell" xfId="38" xr:uid="{1031A287-7A63-487B-A3C5-0FBE03D5FDA1}"/>
    <cellStyle name="SAPEmphasizedEditableDataTotalCell" xfId="39" xr:uid="{0BDE42EF-B944-4935-8458-F3309664A4C4}"/>
    <cellStyle name="SAPEmphasizedLockedDataCell" xfId="42" xr:uid="{6FF988AF-FC6D-4BAE-BDF6-8B2BBE431FAF}"/>
    <cellStyle name="SAPEmphasizedLockedDataTotalCell" xfId="43" xr:uid="{2C7F57B1-806B-444F-ABB5-16E00C958736}"/>
    <cellStyle name="SAPEmphasizedReadonlyDataCell" xfId="40" xr:uid="{A068743E-C90B-43F8-A910-1025FFBD9805}"/>
    <cellStyle name="SAPEmphasizedReadonlyDataTotalCell" xfId="41" xr:uid="{1EFD275C-26E0-4266-9C8E-7D45B0C46148}"/>
    <cellStyle name="SAPEmphasizedTotal" xfId="37" xr:uid="{8D935BE0-545E-4E9C-8A6E-0C66551E319D}"/>
    <cellStyle name="SAPError" xfId="22" xr:uid="{E0D83ABF-0784-4DC5-AC84-4CEAB62018E9}"/>
    <cellStyle name="SAPExceptionLevel1" xfId="11" xr:uid="{3A4EEBB4-AFD1-4030-B86C-92E57B17143D}"/>
    <cellStyle name="SAPExceptionLevel2" xfId="12" xr:uid="{7901BFDD-F742-49E5-812D-C095C60E8053}"/>
    <cellStyle name="SAPExceptionLevel3" xfId="13" xr:uid="{486DD171-24B7-42F1-8F63-CE42CAD055D5}"/>
    <cellStyle name="SAPExceptionLevel4" xfId="14" xr:uid="{58DD1A08-E5D0-4A9B-AE60-009F5907806F}"/>
    <cellStyle name="SAPExceptionLevel5" xfId="15" xr:uid="{8B7F3C2C-834E-4525-BCB7-46A616DC8C00}"/>
    <cellStyle name="SAPExceptionLevel6" xfId="16" xr:uid="{3529FBEE-9EC4-490B-88DE-246B6CE76051}"/>
    <cellStyle name="SAPExceptionLevel7" xfId="17" xr:uid="{AD7849C0-D65D-490F-B12B-67230FF4EAE4}"/>
    <cellStyle name="SAPExceptionLevel8" xfId="18" xr:uid="{5F0AFFF2-D1D6-4405-AE44-45B7F9C0733C}"/>
    <cellStyle name="SAPExceptionLevel9" xfId="19" xr:uid="{B78F007D-3551-44CF-A9DD-798BBBD3CF20}"/>
    <cellStyle name="SAPFormula" xfId="44" xr:uid="{469D2198-AD4F-46A5-9B0B-B507048746A7}"/>
    <cellStyle name="SAPGroupingFillCell" xfId="4" xr:uid="{790B9DE6-821E-4E20-A641-EBF4763C8290}"/>
    <cellStyle name="SAPHierarchyCell0" xfId="26" xr:uid="{0CFAB449-4B56-4BA3-8DE3-E32C33359AAC}"/>
    <cellStyle name="SAPHierarchyCell1" xfId="27" xr:uid="{EB65388E-EEDB-45CF-B3CF-DA20DFF17C35}"/>
    <cellStyle name="SAPHierarchyCell2" xfId="28" xr:uid="{AE96ACEF-B053-4341-A82F-332918EA20AC}"/>
    <cellStyle name="SAPHierarchyCell3" xfId="29" xr:uid="{7BC84687-F2FE-4E5E-8F05-530BB122A617}"/>
    <cellStyle name="SAPHierarchyCell4" xfId="30" xr:uid="{FE1E1CDB-0725-4DCC-80B5-515B3FA3B541}"/>
    <cellStyle name="SAPHierarchyCell5" xfId="31" xr:uid="{8797063A-B0E5-4B7E-B625-23DD8BE4132B}"/>
    <cellStyle name="SAPHierarchyCell6" xfId="32" xr:uid="{F090B195-3EE3-48D8-9E85-D7D210BB9C2B}"/>
    <cellStyle name="SAPHierarchyCell7" xfId="33" xr:uid="{8ECC87D3-C905-4B7E-879B-34D9578E2AEA}"/>
    <cellStyle name="SAPHierarchyCell8" xfId="34" xr:uid="{CFD6451D-C5C9-430E-B72D-DF8760C556C9}"/>
    <cellStyle name="SAPHierarchyCell9" xfId="35" xr:uid="{52FDB11C-31BE-4EE0-91AC-B44B3D3F5320}"/>
    <cellStyle name="SAPLockedDataCell" xfId="7" xr:uid="{1937D44C-B773-44C4-831E-F58AD3722538}"/>
    <cellStyle name="SAPLockedDataTotalCell" xfId="10" xr:uid="{4BE7B891-D74A-40FD-9F3B-D10299507EE0}"/>
    <cellStyle name="SAPMemberCell" xfId="24" xr:uid="{E1DC8361-A4AD-431D-9ACC-34853737FA65}"/>
    <cellStyle name="SAPMemberTotalCell" xfId="25" xr:uid="{DA5686A3-ED93-4D21-BB29-181D5772CAFD}"/>
    <cellStyle name="SAPMessageText" xfId="23" xr:uid="{B478841A-5ED9-4AA6-87A9-A1195DE1434E}"/>
    <cellStyle name="SAPReadonlyDataCell" xfId="6" xr:uid="{6D5807A2-C5D8-40E1-82AA-EE1BE19EC2EF}"/>
    <cellStyle name="SAPReadonlyDataTotalCell" xfId="9" xr:uid="{EC728E8F-29F3-4E40-8531-35D2E3B11D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1276350</xdr:colOff>
      <xdr:row>18</xdr:row>
      <xdr:rowOff>0</xdr:rowOff>
    </xdr:from>
    <xdr:to>
      <xdr:col>26</xdr:col>
      <xdr:colOff>512401</xdr:colOff>
      <xdr:row>58</xdr:row>
      <xdr:rowOff>18095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264103-74F4-41CC-8CC2-4E8113780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9975" y="3429000"/>
          <a:ext cx="15590476" cy="7638095"/>
        </a:xfrm>
        <a:prstGeom prst="rect">
          <a:avLst/>
        </a:prstGeom>
      </xdr:spPr>
    </xdr:pic>
    <xdr:clientData/>
  </xdr:twoCellAnchor>
  <xdr:twoCellAnchor>
    <xdr:from>
      <xdr:col>4</xdr:col>
      <xdr:colOff>809625</xdr:colOff>
      <xdr:row>47</xdr:row>
      <xdr:rowOff>123825</xdr:rowOff>
    </xdr:from>
    <xdr:to>
      <xdr:col>8</xdr:col>
      <xdr:colOff>1371600</xdr:colOff>
      <xdr:row>55</xdr:row>
      <xdr:rowOff>9525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7B26C9D-61E7-40FB-83EE-6C98E3AF8158}"/>
            </a:ext>
          </a:extLst>
        </xdr:cNvPr>
        <xdr:cNvCxnSpPr/>
      </xdr:nvCxnSpPr>
      <xdr:spPr>
        <a:xfrm>
          <a:off x="5619750" y="9077325"/>
          <a:ext cx="5705475" cy="1409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22</xdr:col>
      <xdr:colOff>503052</xdr:colOff>
      <xdr:row>24</xdr:row>
      <xdr:rowOff>85286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5F619-6AFA-472E-B21E-3BB9A9998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1900" y="1143000"/>
          <a:ext cx="14180952" cy="3514286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</xdr:row>
      <xdr:rowOff>123825</xdr:rowOff>
    </xdr:from>
    <xdr:to>
      <xdr:col>10</xdr:col>
      <xdr:colOff>428625</xdr:colOff>
      <xdr:row>22</xdr:row>
      <xdr:rowOff>57150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14DFC17-3DF2-45A4-B00D-19A3C9837F2B}"/>
            </a:ext>
          </a:extLst>
        </xdr:cNvPr>
        <xdr:cNvCxnSpPr/>
      </xdr:nvCxnSpPr>
      <xdr:spPr>
        <a:xfrm>
          <a:off x="9648825" y="1647825"/>
          <a:ext cx="2867025" cy="26003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28575</xdr:colOff>
      <xdr:row>25</xdr:row>
      <xdr:rowOff>114300</xdr:rowOff>
    </xdr:from>
    <xdr:to>
      <xdr:col>13</xdr:col>
      <xdr:colOff>1104192</xdr:colOff>
      <xdr:row>56</xdr:row>
      <xdr:rowOff>170705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1CB65C-B527-46F6-BBCB-29ED11BF0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0475" y="4876800"/>
          <a:ext cx="5666667" cy="5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7.bin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3.bin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9.bin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060E-6E3B-4AA4-9E39-B2F1D26EAD88}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verticalDpi="0" r:id="rId1"/>
  <customProperties>
    <customPr name="_pios_id" r:id="rId2"/>
    <customPr name="CofWorksheetType" r:id="rId3"/>
    <customPr name="serializedData2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41B4-5E46-4915-9872-E8B4722E40F6}">
  <sheetPr filterMode="1"/>
  <dimension ref="A1:I265"/>
  <sheetViews>
    <sheetView topLeftCell="B1" workbookViewId="0">
      <selection activeCell="D268" sqref="D268"/>
    </sheetView>
  </sheetViews>
  <sheetFormatPr defaultRowHeight="15"/>
  <cols>
    <col min="1" max="1" width="15.140625" bestFit="1" customWidth="1"/>
    <col min="2" max="2" width="27.85546875" bestFit="1" customWidth="1"/>
    <col min="3" max="3" width="11" bestFit="1" customWidth="1"/>
    <col min="4" max="4" width="21.85546875" bestFit="1" customWidth="1"/>
    <col min="5" max="5" width="26.140625" bestFit="1" customWidth="1"/>
    <col min="6" max="6" width="14" bestFit="1" customWidth="1"/>
    <col min="7" max="7" width="23.5703125" bestFit="1" customWidth="1"/>
    <col min="8" max="8" width="14" bestFit="1" customWidth="1"/>
    <col min="9" max="9" width="23.5703125" bestFit="1" customWidth="1"/>
    <col min="10" max="10" width="18.42578125" bestFit="1" customWidth="1"/>
    <col min="11" max="11" width="4.42578125" bestFit="1" customWidth="1"/>
    <col min="12" max="12" width="23.5703125" bestFit="1" customWidth="1"/>
    <col min="13" max="14" width="12.85546875" bestFit="1" customWidth="1"/>
    <col min="15" max="15" width="23.5703125" bestFit="1" customWidth="1"/>
    <col min="16" max="16" width="17.5703125" bestFit="1" customWidth="1"/>
    <col min="17" max="17" width="15" bestFit="1" customWidth="1"/>
    <col min="18" max="18" width="23.5703125" bestFit="1" customWidth="1"/>
  </cols>
  <sheetData>
    <row r="1" spans="1:9">
      <c r="A1" s="4" t="s">
        <v>0</v>
      </c>
      <c r="B1" s="4" t="s">
        <v>0</v>
      </c>
      <c r="C1" s="4" t="s">
        <v>0</v>
      </c>
      <c r="D1" s="4" t="s">
        <v>0</v>
      </c>
      <c r="E1" s="5" t="s">
        <v>1</v>
      </c>
      <c r="F1" s="1"/>
      <c r="G1" s="1"/>
    </row>
    <row r="2" spans="1:9">
      <c r="A2" s="4" t="s">
        <v>0</v>
      </c>
      <c r="B2" s="4" t="s">
        <v>0</v>
      </c>
      <c r="C2" s="4" t="s">
        <v>0</v>
      </c>
      <c r="D2" s="4" t="s">
        <v>2</v>
      </c>
      <c r="E2" s="5" t="s">
        <v>3</v>
      </c>
      <c r="F2" s="5" t="s">
        <v>4</v>
      </c>
      <c r="G2" s="5" t="s">
        <v>5</v>
      </c>
      <c r="H2" s="10" t="s">
        <v>6</v>
      </c>
      <c r="I2" s="10" t="s">
        <v>7</v>
      </c>
    </row>
    <row r="3" spans="1:9">
      <c r="A3" s="4" t="s">
        <v>0</v>
      </c>
      <c r="B3" s="4" t="s">
        <v>0</v>
      </c>
      <c r="C3" s="4" t="s">
        <v>0</v>
      </c>
      <c r="D3" s="3"/>
      <c r="E3" s="5" t="s">
        <v>8</v>
      </c>
      <c r="F3" s="5" t="s">
        <v>9</v>
      </c>
      <c r="G3" s="5" t="s">
        <v>10</v>
      </c>
      <c r="H3" s="10" t="s">
        <v>11</v>
      </c>
      <c r="I3" s="10" t="s">
        <v>12</v>
      </c>
    </row>
    <row r="4" spans="1:9">
      <c r="A4" s="4" t="s">
        <v>13</v>
      </c>
      <c r="B4" s="3"/>
      <c r="C4" s="4" t="s">
        <v>14</v>
      </c>
      <c r="D4" s="4" t="s">
        <v>0</v>
      </c>
      <c r="E4" s="6" t="s">
        <v>15</v>
      </c>
      <c r="F4" s="6" t="s">
        <v>15</v>
      </c>
      <c r="G4" s="6" t="s">
        <v>15</v>
      </c>
      <c r="H4" s="13" t="s">
        <v>15</v>
      </c>
      <c r="I4" s="12" t="s">
        <v>15</v>
      </c>
    </row>
    <row r="5" spans="1:9" hidden="1">
      <c r="A5" s="5" t="s">
        <v>16</v>
      </c>
      <c r="B5" s="5" t="s">
        <v>17</v>
      </c>
      <c r="C5" s="5" t="s">
        <v>18</v>
      </c>
      <c r="D5" s="5" t="s">
        <v>19</v>
      </c>
      <c r="E5" s="2">
        <v>0</v>
      </c>
      <c r="F5" s="2">
        <v>0</v>
      </c>
      <c r="G5" s="2">
        <v>0</v>
      </c>
      <c r="H5" s="11">
        <f>F5-E5</f>
        <v>0</v>
      </c>
      <c r="I5" s="11">
        <f>G5-F5</f>
        <v>0</v>
      </c>
    </row>
    <row r="6" spans="1:9" hidden="1">
      <c r="A6" s="1"/>
      <c r="B6" s="1"/>
      <c r="C6" s="5" t="s">
        <v>20</v>
      </c>
      <c r="D6" s="5" t="s">
        <v>21</v>
      </c>
      <c r="E6" s="2">
        <v>0</v>
      </c>
      <c r="F6" s="2">
        <v>0</v>
      </c>
      <c r="G6" s="2">
        <v>0</v>
      </c>
      <c r="H6" s="11">
        <f t="shared" ref="H6:H69" si="0">F6-E6</f>
        <v>0</v>
      </c>
      <c r="I6" s="11">
        <f t="shared" ref="I6:I69" si="1">G6-F6</f>
        <v>0</v>
      </c>
    </row>
    <row r="7" spans="1:9" hidden="1">
      <c r="A7" s="1"/>
      <c r="B7" s="1"/>
      <c r="C7" s="5" t="s">
        <v>22</v>
      </c>
      <c r="D7" s="5" t="s">
        <v>23</v>
      </c>
      <c r="E7" s="2">
        <v>25919.439999999999</v>
      </c>
      <c r="F7" s="2">
        <v>25919.439999999999</v>
      </c>
      <c r="G7" s="2">
        <v>25919.439999999999</v>
      </c>
      <c r="H7" s="11">
        <f t="shared" si="0"/>
        <v>0</v>
      </c>
      <c r="I7" s="11">
        <f t="shared" si="1"/>
        <v>0</v>
      </c>
    </row>
    <row r="8" spans="1:9" hidden="1">
      <c r="A8" s="1"/>
      <c r="B8" s="1"/>
      <c r="C8" s="5" t="s">
        <v>24</v>
      </c>
      <c r="D8" s="5" t="s">
        <v>25</v>
      </c>
      <c r="E8" s="2">
        <v>0</v>
      </c>
      <c r="F8" s="2">
        <v>0</v>
      </c>
      <c r="G8" s="2">
        <v>0</v>
      </c>
      <c r="H8" s="11">
        <f t="shared" si="0"/>
        <v>0</v>
      </c>
      <c r="I8" s="11">
        <f t="shared" si="1"/>
        <v>0</v>
      </c>
    </row>
    <row r="9" spans="1:9" hidden="1">
      <c r="A9" s="1"/>
      <c r="B9" s="1"/>
      <c r="C9" s="5" t="s">
        <v>26</v>
      </c>
      <c r="D9" s="5" t="s">
        <v>27</v>
      </c>
      <c r="E9" s="2">
        <v>-10001780.4</v>
      </c>
      <c r="F9" s="2">
        <v>-10001780.4</v>
      </c>
      <c r="G9" s="2">
        <v>-10001780.4</v>
      </c>
      <c r="H9" s="11">
        <f t="shared" si="0"/>
        <v>0</v>
      </c>
      <c r="I9" s="11">
        <f t="shared" si="1"/>
        <v>0</v>
      </c>
    </row>
    <row r="10" spans="1:9" hidden="1">
      <c r="A10" s="1"/>
      <c r="B10" s="1"/>
      <c r="C10" s="5" t="s">
        <v>28</v>
      </c>
      <c r="D10" s="5" t="s">
        <v>29</v>
      </c>
      <c r="E10" s="2">
        <v>10001780.4</v>
      </c>
      <c r="F10" s="2">
        <v>10001780.4</v>
      </c>
      <c r="G10" s="2">
        <v>10001780.4</v>
      </c>
      <c r="H10" s="11">
        <f t="shared" si="0"/>
        <v>0</v>
      </c>
      <c r="I10" s="11">
        <f t="shared" si="1"/>
        <v>0</v>
      </c>
    </row>
    <row r="11" spans="1:9" hidden="1">
      <c r="A11" s="1"/>
      <c r="B11" s="1"/>
      <c r="C11" s="5" t="s">
        <v>30</v>
      </c>
      <c r="D11" s="5" t="s">
        <v>31</v>
      </c>
      <c r="E11" s="2">
        <v>0</v>
      </c>
      <c r="F11" s="2">
        <v>0</v>
      </c>
      <c r="G11" s="2">
        <v>0</v>
      </c>
      <c r="H11" s="11">
        <f t="shared" si="0"/>
        <v>0</v>
      </c>
      <c r="I11" s="11">
        <f t="shared" si="1"/>
        <v>0</v>
      </c>
    </row>
    <row r="12" spans="1:9" hidden="1">
      <c r="A12" s="1"/>
      <c r="B12" s="1"/>
      <c r="C12" s="5" t="s">
        <v>32</v>
      </c>
      <c r="D12" s="5" t="s">
        <v>33</v>
      </c>
      <c r="E12" s="2">
        <v>-2876679</v>
      </c>
      <c r="F12" s="2">
        <v>-2876679</v>
      </c>
      <c r="G12" s="2">
        <v>-2876679</v>
      </c>
      <c r="H12" s="11">
        <f t="shared" si="0"/>
        <v>0</v>
      </c>
      <c r="I12" s="11">
        <f t="shared" si="1"/>
        <v>0</v>
      </c>
    </row>
    <row r="13" spans="1:9">
      <c r="A13" s="1"/>
      <c r="B13" s="1"/>
      <c r="C13" s="5" t="s">
        <v>34</v>
      </c>
      <c r="D13" s="5" t="s">
        <v>35</v>
      </c>
      <c r="E13" s="2">
        <v>21951242.960000001</v>
      </c>
      <c r="F13" s="2">
        <v>7003098.9000000004</v>
      </c>
      <c r="G13" s="2">
        <v>7003098.9000000004</v>
      </c>
      <c r="H13" s="11">
        <f t="shared" si="0"/>
        <v>-14948144.060000001</v>
      </c>
      <c r="I13" s="11">
        <f t="shared" si="1"/>
        <v>0</v>
      </c>
    </row>
    <row r="14" spans="1:9">
      <c r="A14" s="1"/>
      <c r="B14" s="1"/>
      <c r="C14" s="5" t="s">
        <v>36</v>
      </c>
      <c r="D14" s="5" t="s">
        <v>37</v>
      </c>
      <c r="E14" s="2">
        <v>320</v>
      </c>
      <c r="F14" s="2"/>
      <c r="G14" s="2"/>
      <c r="H14" s="11">
        <f t="shared" si="0"/>
        <v>-320</v>
      </c>
      <c r="I14" s="11">
        <f t="shared" si="1"/>
        <v>0</v>
      </c>
    </row>
    <row r="15" spans="1:9" hidden="1">
      <c r="A15" s="1"/>
      <c r="B15" s="1"/>
      <c r="C15" s="5" t="s">
        <v>38</v>
      </c>
      <c r="D15" s="5" t="s">
        <v>39</v>
      </c>
      <c r="E15" s="2">
        <v>8061686.1299999999</v>
      </c>
      <c r="F15" s="2">
        <v>8061686.1299999999</v>
      </c>
      <c r="G15" s="2">
        <v>6046264.5899999999</v>
      </c>
      <c r="H15" s="11">
        <f t="shared" si="0"/>
        <v>0</v>
      </c>
      <c r="I15" s="11">
        <f t="shared" si="1"/>
        <v>-2015421.54</v>
      </c>
    </row>
    <row r="16" spans="1:9" hidden="1">
      <c r="A16" s="1"/>
      <c r="B16" s="1"/>
      <c r="C16" s="5" t="s">
        <v>40</v>
      </c>
      <c r="D16" s="5" t="s">
        <v>41</v>
      </c>
      <c r="E16" s="2">
        <v>-953377.48</v>
      </c>
      <c r="F16" s="2">
        <v>-953377.48</v>
      </c>
      <c r="G16" s="2">
        <v>-953377.48</v>
      </c>
      <c r="H16" s="11">
        <f t="shared" si="0"/>
        <v>0</v>
      </c>
      <c r="I16" s="11">
        <f t="shared" si="1"/>
        <v>0</v>
      </c>
    </row>
    <row r="17" spans="1:9">
      <c r="A17" s="1"/>
      <c r="B17" s="1"/>
      <c r="C17" s="5" t="s">
        <v>42</v>
      </c>
      <c r="D17" s="5" t="s">
        <v>43</v>
      </c>
      <c r="E17" s="2"/>
      <c r="F17" s="2">
        <v>-402268.21</v>
      </c>
      <c r="G17" s="2">
        <v>-402268.21</v>
      </c>
      <c r="H17" s="11">
        <f t="shared" si="0"/>
        <v>-402268.21</v>
      </c>
      <c r="I17" s="11">
        <f t="shared" si="1"/>
        <v>0</v>
      </c>
    </row>
    <row r="18" spans="1:9" hidden="1">
      <c r="A18" s="1"/>
      <c r="B18" s="1"/>
      <c r="C18" s="5" t="s">
        <v>44</v>
      </c>
      <c r="D18" s="5" t="s">
        <v>45</v>
      </c>
      <c r="E18" s="2">
        <v>0</v>
      </c>
      <c r="F18" s="2">
        <v>0</v>
      </c>
      <c r="G18" s="2">
        <v>0</v>
      </c>
      <c r="H18" s="11">
        <f t="shared" si="0"/>
        <v>0</v>
      </c>
      <c r="I18" s="11">
        <f t="shared" si="1"/>
        <v>0</v>
      </c>
    </row>
    <row r="19" spans="1:9" hidden="1">
      <c r="A19" s="1"/>
      <c r="B19" s="1"/>
      <c r="C19" s="5" t="s">
        <v>46</v>
      </c>
      <c r="D19" s="5" t="s">
        <v>47</v>
      </c>
      <c r="E19" s="2">
        <v>-8.93</v>
      </c>
      <c r="F19" s="2">
        <v>-8.93</v>
      </c>
      <c r="G19" s="2">
        <v>-8.93</v>
      </c>
      <c r="H19" s="11">
        <f t="shared" si="0"/>
        <v>0</v>
      </c>
      <c r="I19" s="11">
        <f t="shared" si="1"/>
        <v>0</v>
      </c>
    </row>
    <row r="20" spans="1:9" hidden="1">
      <c r="A20" s="1"/>
      <c r="B20" s="1"/>
      <c r="C20" s="5" t="s">
        <v>48</v>
      </c>
      <c r="D20" s="5" t="s">
        <v>49</v>
      </c>
      <c r="E20" s="2">
        <v>-9579.2800000000007</v>
      </c>
      <c r="F20" s="2">
        <v>-9579.2800000000007</v>
      </c>
      <c r="G20" s="2">
        <v>-9579.2800000000007</v>
      </c>
      <c r="H20" s="11">
        <f t="shared" si="0"/>
        <v>0</v>
      </c>
      <c r="I20" s="11">
        <f t="shared" si="1"/>
        <v>0</v>
      </c>
    </row>
    <row r="21" spans="1:9" hidden="1">
      <c r="A21" s="1"/>
      <c r="B21" s="1"/>
      <c r="C21" s="5" t="s">
        <v>50</v>
      </c>
      <c r="D21" s="5" t="s">
        <v>51</v>
      </c>
      <c r="E21" s="2">
        <v>6935.5</v>
      </c>
      <c r="F21" s="2">
        <v>6935.5</v>
      </c>
      <c r="G21" s="2">
        <v>6935.5</v>
      </c>
      <c r="H21" s="11">
        <f t="shared" si="0"/>
        <v>0</v>
      </c>
      <c r="I21" s="11">
        <f t="shared" si="1"/>
        <v>0</v>
      </c>
    </row>
    <row r="22" spans="1:9" hidden="1">
      <c r="A22" s="1"/>
      <c r="B22" s="1"/>
      <c r="C22" s="5" t="s">
        <v>52</v>
      </c>
      <c r="D22" s="5" t="s">
        <v>53</v>
      </c>
      <c r="E22" s="2">
        <v>12882.84</v>
      </c>
      <c r="F22" s="2">
        <v>12882.84</v>
      </c>
      <c r="G22" s="2">
        <v>12882.84</v>
      </c>
      <c r="H22" s="11">
        <f t="shared" si="0"/>
        <v>0</v>
      </c>
      <c r="I22" s="11">
        <f t="shared" si="1"/>
        <v>0</v>
      </c>
    </row>
    <row r="23" spans="1:9" hidden="1">
      <c r="A23" s="1"/>
      <c r="B23" s="1"/>
      <c r="C23" s="5" t="s">
        <v>54</v>
      </c>
      <c r="D23" s="5" t="s">
        <v>55</v>
      </c>
      <c r="E23" s="2">
        <v>0</v>
      </c>
      <c r="F23" s="2">
        <v>0</v>
      </c>
      <c r="G23" s="2">
        <v>0</v>
      </c>
      <c r="H23" s="11">
        <f t="shared" si="0"/>
        <v>0</v>
      </c>
      <c r="I23" s="11">
        <f t="shared" si="1"/>
        <v>0</v>
      </c>
    </row>
    <row r="24" spans="1:9" hidden="1">
      <c r="A24" s="1"/>
      <c r="B24" s="1"/>
      <c r="C24" s="5" t="s">
        <v>56</v>
      </c>
      <c r="D24" s="5" t="s">
        <v>57</v>
      </c>
      <c r="E24" s="2">
        <v>8.93</v>
      </c>
      <c r="F24" s="2">
        <v>8.93</v>
      </c>
      <c r="G24" s="2">
        <v>8.93</v>
      </c>
      <c r="H24" s="11">
        <f t="shared" si="0"/>
        <v>0</v>
      </c>
      <c r="I24" s="11">
        <f t="shared" si="1"/>
        <v>0</v>
      </c>
    </row>
    <row r="25" spans="1:9" hidden="1">
      <c r="A25" s="1"/>
      <c r="B25" s="1"/>
      <c r="C25" s="5" t="s">
        <v>58</v>
      </c>
      <c r="D25" s="5" t="s">
        <v>59</v>
      </c>
      <c r="E25" s="2">
        <v>-47.73</v>
      </c>
      <c r="F25" s="2">
        <v>-47.73</v>
      </c>
      <c r="G25" s="2">
        <v>-47.73</v>
      </c>
      <c r="H25" s="11">
        <f t="shared" si="0"/>
        <v>0</v>
      </c>
      <c r="I25" s="11">
        <f t="shared" si="1"/>
        <v>0</v>
      </c>
    </row>
    <row r="26" spans="1:9" hidden="1">
      <c r="A26" s="1"/>
      <c r="B26" s="1"/>
      <c r="C26" s="5" t="s">
        <v>60</v>
      </c>
      <c r="D26" s="5" t="s">
        <v>61</v>
      </c>
      <c r="E26" s="2">
        <v>0</v>
      </c>
      <c r="F26" s="2">
        <v>0</v>
      </c>
      <c r="G26" s="2">
        <v>0</v>
      </c>
      <c r="H26" s="11">
        <f t="shared" si="0"/>
        <v>0</v>
      </c>
      <c r="I26" s="11">
        <f t="shared" si="1"/>
        <v>0</v>
      </c>
    </row>
    <row r="27" spans="1:9" hidden="1">
      <c r="A27" s="1"/>
      <c r="B27" s="1"/>
      <c r="C27" s="5" t="s">
        <v>62</v>
      </c>
      <c r="D27" s="5" t="s">
        <v>63</v>
      </c>
      <c r="E27" s="2">
        <v>0</v>
      </c>
      <c r="F27" s="2">
        <v>0</v>
      </c>
      <c r="G27" s="2">
        <v>0</v>
      </c>
      <c r="H27" s="11">
        <f t="shared" si="0"/>
        <v>0</v>
      </c>
      <c r="I27" s="11">
        <f t="shared" si="1"/>
        <v>0</v>
      </c>
    </row>
    <row r="28" spans="1:9" hidden="1">
      <c r="A28" s="1"/>
      <c r="B28" s="1"/>
      <c r="C28" s="5" t="s">
        <v>64</v>
      </c>
      <c r="D28" s="5" t="s">
        <v>65</v>
      </c>
      <c r="E28" s="2">
        <v>0</v>
      </c>
      <c r="F28" s="2">
        <v>0</v>
      </c>
      <c r="G28" s="2">
        <v>0</v>
      </c>
      <c r="H28" s="11">
        <f t="shared" si="0"/>
        <v>0</v>
      </c>
      <c r="I28" s="11">
        <f t="shared" si="1"/>
        <v>0</v>
      </c>
    </row>
    <row r="29" spans="1:9" hidden="1">
      <c r="A29" s="1"/>
      <c r="B29" s="1"/>
      <c r="C29" s="5" t="s">
        <v>66</v>
      </c>
      <c r="D29" s="5" t="s">
        <v>67</v>
      </c>
      <c r="E29" s="2">
        <v>0</v>
      </c>
      <c r="F29" s="2">
        <v>0</v>
      </c>
      <c r="G29" s="2">
        <v>0</v>
      </c>
      <c r="H29" s="11">
        <f t="shared" si="0"/>
        <v>0</v>
      </c>
      <c r="I29" s="11">
        <f t="shared" si="1"/>
        <v>0</v>
      </c>
    </row>
    <row r="30" spans="1:9" hidden="1">
      <c r="A30" s="1"/>
      <c r="B30" s="1"/>
      <c r="C30" s="5" t="s">
        <v>68</v>
      </c>
      <c r="D30" s="5" t="s">
        <v>69</v>
      </c>
      <c r="E30" s="2">
        <v>0</v>
      </c>
      <c r="F30" s="2">
        <v>0</v>
      </c>
      <c r="G30" s="2">
        <v>0</v>
      </c>
      <c r="H30" s="11">
        <f t="shared" si="0"/>
        <v>0</v>
      </c>
      <c r="I30" s="11">
        <f t="shared" si="1"/>
        <v>0</v>
      </c>
    </row>
    <row r="31" spans="1:9" hidden="1">
      <c r="A31" s="1"/>
      <c r="B31" s="1"/>
      <c r="C31" s="5" t="s">
        <v>70</v>
      </c>
      <c r="D31" s="5" t="s">
        <v>71</v>
      </c>
      <c r="E31" s="2">
        <v>0</v>
      </c>
      <c r="F31" s="2">
        <v>0</v>
      </c>
      <c r="G31" s="2">
        <v>0</v>
      </c>
      <c r="H31" s="11">
        <f t="shared" si="0"/>
        <v>0</v>
      </c>
      <c r="I31" s="11">
        <f t="shared" si="1"/>
        <v>0</v>
      </c>
    </row>
    <row r="32" spans="1:9" hidden="1">
      <c r="A32" s="1"/>
      <c r="B32" s="1"/>
      <c r="C32" s="5" t="s">
        <v>72</v>
      </c>
      <c r="D32" s="5" t="s">
        <v>73</v>
      </c>
      <c r="E32" s="2">
        <v>0</v>
      </c>
      <c r="F32" s="2">
        <v>0</v>
      </c>
      <c r="G32" s="2">
        <v>0</v>
      </c>
      <c r="H32" s="11">
        <f t="shared" si="0"/>
        <v>0</v>
      </c>
      <c r="I32" s="11">
        <f t="shared" si="1"/>
        <v>0</v>
      </c>
    </row>
    <row r="33" spans="1:9" hidden="1">
      <c r="A33" s="1"/>
      <c r="B33" s="1"/>
      <c r="C33" s="5" t="s">
        <v>74</v>
      </c>
      <c r="D33" s="5" t="s">
        <v>75</v>
      </c>
      <c r="E33" s="2">
        <v>0</v>
      </c>
      <c r="F33" s="2">
        <v>0</v>
      </c>
      <c r="G33" s="2">
        <v>0</v>
      </c>
      <c r="H33" s="11">
        <f t="shared" si="0"/>
        <v>0</v>
      </c>
      <c r="I33" s="11">
        <f t="shared" si="1"/>
        <v>0</v>
      </c>
    </row>
    <row r="34" spans="1:9" hidden="1">
      <c r="A34" s="1"/>
      <c r="B34" s="1"/>
      <c r="C34" s="5" t="s">
        <v>76</v>
      </c>
      <c r="D34" s="5" t="s">
        <v>77</v>
      </c>
      <c r="E34" s="2">
        <v>0</v>
      </c>
      <c r="F34" s="2">
        <v>0</v>
      </c>
      <c r="G34" s="2">
        <v>0</v>
      </c>
      <c r="H34" s="11">
        <f t="shared" si="0"/>
        <v>0</v>
      </c>
      <c r="I34" s="11">
        <f t="shared" si="1"/>
        <v>0</v>
      </c>
    </row>
    <row r="35" spans="1:9" hidden="1">
      <c r="A35" s="1"/>
      <c r="B35" s="1"/>
      <c r="C35" s="5" t="s">
        <v>78</v>
      </c>
      <c r="D35" s="5" t="s">
        <v>79</v>
      </c>
      <c r="E35" s="2">
        <v>0</v>
      </c>
      <c r="F35" s="2">
        <v>0</v>
      </c>
      <c r="G35" s="2">
        <v>0</v>
      </c>
      <c r="H35" s="11">
        <f t="shared" si="0"/>
        <v>0</v>
      </c>
      <c r="I35" s="11">
        <f t="shared" si="1"/>
        <v>0</v>
      </c>
    </row>
    <row r="36" spans="1:9" hidden="1">
      <c r="A36" s="1"/>
      <c r="B36" s="1"/>
      <c r="C36" s="5" t="s">
        <v>80</v>
      </c>
      <c r="D36" s="5" t="s">
        <v>81</v>
      </c>
      <c r="E36" s="2">
        <v>0</v>
      </c>
      <c r="F36" s="2">
        <v>0</v>
      </c>
      <c r="G36" s="2">
        <v>0</v>
      </c>
      <c r="H36" s="11">
        <f t="shared" si="0"/>
        <v>0</v>
      </c>
      <c r="I36" s="11">
        <f t="shared" si="1"/>
        <v>0</v>
      </c>
    </row>
    <row r="37" spans="1:9" hidden="1">
      <c r="A37" s="1"/>
      <c r="B37" s="1"/>
      <c r="C37" s="5" t="s">
        <v>82</v>
      </c>
      <c r="D37" s="5" t="s">
        <v>83</v>
      </c>
      <c r="E37" s="2">
        <v>289.92</v>
      </c>
      <c r="F37" s="2">
        <v>289.92</v>
      </c>
      <c r="G37" s="2">
        <v>289.92</v>
      </c>
      <c r="H37" s="11">
        <f t="shared" si="0"/>
        <v>0</v>
      </c>
      <c r="I37" s="11">
        <f t="shared" si="1"/>
        <v>0</v>
      </c>
    </row>
    <row r="38" spans="1:9" hidden="1">
      <c r="A38" s="1"/>
      <c r="B38" s="1"/>
      <c r="C38" s="5" t="s">
        <v>84</v>
      </c>
      <c r="D38" s="5" t="s">
        <v>85</v>
      </c>
      <c r="E38" s="2">
        <v>0</v>
      </c>
      <c r="F38" s="2">
        <v>0</v>
      </c>
      <c r="G38" s="2">
        <v>0</v>
      </c>
      <c r="H38" s="11">
        <f t="shared" si="0"/>
        <v>0</v>
      </c>
      <c r="I38" s="11">
        <f t="shared" si="1"/>
        <v>0</v>
      </c>
    </row>
    <row r="39" spans="1:9" hidden="1">
      <c r="A39" s="1"/>
      <c r="B39" s="1"/>
      <c r="C39" s="5" t="s">
        <v>86</v>
      </c>
      <c r="D39" s="5" t="s">
        <v>87</v>
      </c>
      <c r="E39" s="2">
        <v>32.51</v>
      </c>
      <c r="F39" s="2">
        <v>32.51</v>
      </c>
      <c r="G39" s="2">
        <v>32.51</v>
      </c>
      <c r="H39" s="11">
        <f t="shared" si="0"/>
        <v>0</v>
      </c>
      <c r="I39" s="11">
        <f t="shared" si="1"/>
        <v>0</v>
      </c>
    </row>
    <row r="40" spans="1:9" hidden="1">
      <c r="A40" s="1"/>
      <c r="B40" s="1"/>
      <c r="C40" s="5" t="s">
        <v>88</v>
      </c>
      <c r="D40" s="5" t="s">
        <v>89</v>
      </c>
      <c r="E40" s="2">
        <v>0</v>
      </c>
      <c r="F40" s="2">
        <v>0</v>
      </c>
      <c r="G40" s="2">
        <v>0</v>
      </c>
      <c r="H40" s="11">
        <f t="shared" si="0"/>
        <v>0</v>
      </c>
      <c r="I40" s="11">
        <f t="shared" si="1"/>
        <v>0</v>
      </c>
    </row>
    <row r="41" spans="1:9" hidden="1">
      <c r="A41" s="1"/>
      <c r="B41" s="1"/>
      <c r="C41" s="5" t="s">
        <v>90</v>
      </c>
      <c r="D41" s="5" t="s">
        <v>91</v>
      </c>
      <c r="E41" s="2">
        <v>-61074.34</v>
      </c>
      <c r="F41" s="2">
        <v>-61074.34</v>
      </c>
      <c r="G41" s="2">
        <v>-61074.34</v>
      </c>
      <c r="H41" s="11">
        <f t="shared" si="0"/>
        <v>0</v>
      </c>
      <c r="I41" s="11">
        <f t="shared" si="1"/>
        <v>0</v>
      </c>
    </row>
    <row r="42" spans="1:9" hidden="1">
      <c r="A42" s="1"/>
      <c r="B42" s="1"/>
      <c r="C42" s="5" t="s">
        <v>92</v>
      </c>
      <c r="D42" s="5" t="s">
        <v>93</v>
      </c>
      <c r="E42" s="2">
        <v>-724377.52</v>
      </c>
      <c r="F42" s="2">
        <v>-724377.52</v>
      </c>
      <c r="G42" s="2">
        <v>-724377.52</v>
      </c>
      <c r="H42" s="11">
        <f t="shared" si="0"/>
        <v>0</v>
      </c>
      <c r="I42" s="11">
        <f t="shared" si="1"/>
        <v>0</v>
      </c>
    </row>
    <row r="43" spans="1:9" hidden="1">
      <c r="A43" s="1"/>
      <c r="B43" s="1"/>
      <c r="C43" s="5" t="s">
        <v>94</v>
      </c>
      <c r="D43" s="5" t="s">
        <v>95</v>
      </c>
      <c r="E43" s="2">
        <v>1927215.66</v>
      </c>
      <c r="F43" s="2">
        <v>1927215.66</v>
      </c>
      <c r="G43" s="2">
        <v>1927215.66</v>
      </c>
      <c r="H43" s="11">
        <f t="shared" si="0"/>
        <v>0</v>
      </c>
      <c r="I43" s="11">
        <f t="shared" si="1"/>
        <v>0</v>
      </c>
    </row>
    <row r="44" spans="1:9" hidden="1">
      <c r="A44" s="1"/>
      <c r="B44" s="1"/>
      <c r="C44" s="5" t="s">
        <v>96</v>
      </c>
      <c r="D44" s="5" t="s">
        <v>97</v>
      </c>
      <c r="E44" s="2">
        <v>-74.86</v>
      </c>
      <c r="F44" s="2">
        <v>-74.86</v>
      </c>
      <c r="G44" s="2">
        <v>-74.86</v>
      </c>
      <c r="H44" s="11">
        <f t="shared" si="0"/>
        <v>0</v>
      </c>
      <c r="I44" s="11">
        <f t="shared" si="1"/>
        <v>0</v>
      </c>
    </row>
    <row r="45" spans="1:9" hidden="1">
      <c r="A45" s="1"/>
      <c r="B45" s="1"/>
      <c r="C45" s="5" t="s">
        <v>98</v>
      </c>
      <c r="D45" s="5" t="s">
        <v>99</v>
      </c>
      <c r="E45" s="2">
        <v>0</v>
      </c>
      <c r="F45" s="2">
        <v>0</v>
      </c>
      <c r="G45" s="2">
        <v>0</v>
      </c>
      <c r="H45" s="11">
        <f t="shared" si="0"/>
        <v>0</v>
      </c>
      <c r="I45" s="11">
        <f t="shared" si="1"/>
        <v>0</v>
      </c>
    </row>
    <row r="46" spans="1:9" hidden="1">
      <c r="A46" s="1"/>
      <c r="B46" s="1"/>
      <c r="C46" s="5" t="s">
        <v>100</v>
      </c>
      <c r="D46" s="5" t="s">
        <v>101</v>
      </c>
      <c r="E46" s="2">
        <v>293565.5</v>
      </c>
      <c r="F46" s="2">
        <v>293565.5</v>
      </c>
      <c r="G46" s="2">
        <v>293565.5</v>
      </c>
      <c r="H46" s="11">
        <f t="shared" si="0"/>
        <v>0</v>
      </c>
      <c r="I46" s="11">
        <f t="shared" si="1"/>
        <v>0</v>
      </c>
    </row>
    <row r="47" spans="1:9" hidden="1">
      <c r="A47" s="1"/>
      <c r="B47" s="1"/>
      <c r="C47" s="5" t="s">
        <v>102</v>
      </c>
      <c r="D47" s="5" t="s">
        <v>99</v>
      </c>
      <c r="E47" s="2">
        <v>0</v>
      </c>
      <c r="F47" s="2">
        <v>0</v>
      </c>
      <c r="G47" s="2">
        <v>0</v>
      </c>
      <c r="H47" s="11">
        <f t="shared" si="0"/>
        <v>0</v>
      </c>
      <c r="I47" s="11">
        <f t="shared" si="1"/>
        <v>0</v>
      </c>
    </row>
    <row r="48" spans="1:9" hidden="1">
      <c r="A48" s="1"/>
      <c r="B48" s="1"/>
      <c r="C48" s="5" t="s">
        <v>103</v>
      </c>
      <c r="D48" s="5" t="s">
        <v>104</v>
      </c>
      <c r="E48" s="2">
        <v>232096.46</v>
      </c>
      <c r="F48" s="2">
        <v>232096.46</v>
      </c>
      <c r="G48" s="2">
        <v>232096.46</v>
      </c>
      <c r="H48" s="11">
        <f t="shared" si="0"/>
        <v>0</v>
      </c>
      <c r="I48" s="11">
        <f t="shared" si="1"/>
        <v>0</v>
      </c>
    </row>
    <row r="49" spans="1:9" hidden="1">
      <c r="A49" s="1"/>
      <c r="B49" s="1"/>
      <c r="C49" s="5" t="s">
        <v>105</v>
      </c>
      <c r="D49" s="5" t="s">
        <v>106</v>
      </c>
      <c r="E49" s="2">
        <v>65902.570000000007</v>
      </c>
      <c r="F49" s="2">
        <v>65902.570000000007</v>
      </c>
      <c r="G49" s="2">
        <v>65902.570000000007</v>
      </c>
      <c r="H49" s="11">
        <f t="shared" si="0"/>
        <v>0</v>
      </c>
      <c r="I49" s="11">
        <f t="shared" si="1"/>
        <v>0</v>
      </c>
    </row>
    <row r="50" spans="1:9" hidden="1">
      <c r="A50" s="1"/>
      <c r="B50" s="1"/>
      <c r="C50" s="5" t="s">
        <v>107</v>
      </c>
      <c r="D50" s="5" t="s">
        <v>108</v>
      </c>
      <c r="E50" s="2">
        <v>-523020.23</v>
      </c>
      <c r="F50" s="2">
        <v>-523020.23</v>
      </c>
      <c r="G50" s="2">
        <v>-523020.23</v>
      </c>
      <c r="H50" s="11">
        <f t="shared" si="0"/>
        <v>0</v>
      </c>
      <c r="I50" s="11">
        <f t="shared" si="1"/>
        <v>0</v>
      </c>
    </row>
    <row r="51" spans="1:9" hidden="1">
      <c r="A51" s="1"/>
      <c r="B51" s="1"/>
      <c r="C51" s="5" t="s">
        <v>109</v>
      </c>
      <c r="D51" s="5" t="s">
        <v>110</v>
      </c>
      <c r="E51" s="2">
        <v>89.89</v>
      </c>
      <c r="F51" s="2">
        <v>89.89</v>
      </c>
      <c r="G51" s="2">
        <v>89.89</v>
      </c>
      <c r="H51" s="11">
        <f t="shared" si="0"/>
        <v>0</v>
      </c>
      <c r="I51" s="11">
        <f t="shared" si="1"/>
        <v>0</v>
      </c>
    </row>
    <row r="52" spans="1:9">
      <c r="A52" s="1"/>
      <c r="B52" s="1"/>
      <c r="C52" s="5" t="s">
        <v>111</v>
      </c>
      <c r="D52" s="5" t="s">
        <v>112</v>
      </c>
      <c r="E52" s="2">
        <v>0.02</v>
      </c>
      <c r="F52" s="2">
        <v>-0.01</v>
      </c>
      <c r="G52" s="2">
        <v>-0.01</v>
      </c>
      <c r="H52" s="11">
        <f t="shared" si="0"/>
        <v>-0.03</v>
      </c>
      <c r="I52" s="11">
        <f t="shared" si="1"/>
        <v>0</v>
      </c>
    </row>
    <row r="53" spans="1:9">
      <c r="A53" s="1"/>
      <c r="B53" s="1"/>
      <c r="C53" s="5" t="s">
        <v>113</v>
      </c>
      <c r="D53" s="5" t="s">
        <v>114</v>
      </c>
      <c r="E53" s="2">
        <v>506.22</v>
      </c>
      <c r="F53" s="2">
        <v>531.54999999999995</v>
      </c>
      <c r="G53" s="2">
        <v>531.54999999999995</v>
      </c>
      <c r="H53" s="11">
        <f t="shared" si="0"/>
        <v>25.329999999999927</v>
      </c>
      <c r="I53" s="11">
        <f t="shared" si="1"/>
        <v>0</v>
      </c>
    </row>
    <row r="54" spans="1:9" hidden="1">
      <c r="A54" s="1"/>
      <c r="B54" s="1"/>
      <c r="C54" s="5" t="s">
        <v>115</v>
      </c>
      <c r="D54" s="5" t="s">
        <v>116</v>
      </c>
      <c r="E54" s="2">
        <v>11.92</v>
      </c>
      <c r="F54" s="2">
        <v>11.92</v>
      </c>
      <c r="G54" s="2">
        <v>11.92</v>
      </c>
      <c r="H54" s="11">
        <f t="shared" si="0"/>
        <v>0</v>
      </c>
      <c r="I54" s="11">
        <f t="shared" si="1"/>
        <v>0</v>
      </c>
    </row>
    <row r="55" spans="1:9">
      <c r="A55" s="1"/>
      <c r="B55" s="1"/>
      <c r="C55" s="5" t="s">
        <v>117</v>
      </c>
      <c r="D55" s="5" t="s">
        <v>118</v>
      </c>
      <c r="E55" s="2">
        <v>41276.89</v>
      </c>
      <c r="F55" s="2">
        <v>202148.8</v>
      </c>
      <c r="G55" s="2">
        <v>202148.8</v>
      </c>
      <c r="H55" s="11">
        <f t="shared" si="0"/>
        <v>160871.90999999997</v>
      </c>
      <c r="I55" s="11">
        <f t="shared" si="1"/>
        <v>0</v>
      </c>
    </row>
    <row r="56" spans="1:9">
      <c r="A56" s="1"/>
      <c r="B56" s="1"/>
      <c r="C56" s="5" t="s">
        <v>119</v>
      </c>
      <c r="D56" s="5" t="s">
        <v>120</v>
      </c>
      <c r="E56" s="2">
        <v>0</v>
      </c>
      <c r="F56" s="2">
        <v>0.03</v>
      </c>
      <c r="G56" s="2">
        <v>0.03</v>
      </c>
      <c r="H56" s="11">
        <f t="shared" si="0"/>
        <v>0.03</v>
      </c>
      <c r="I56" s="11">
        <f t="shared" si="1"/>
        <v>0</v>
      </c>
    </row>
    <row r="57" spans="1:9" hidden="1">
      <c r="A57" s="1"/>
      <c r="B57" s="1"/>
      <c r="C57" s="5" t="s">
        <v>121</v>
      </c>
      <c r="D57" s="5" t="s">
        <v>122</v>
      </c>
      <c r="E57" s="2">
        <v>224.56</v>
      </c>
      <c r="F57" s="2">
        <v>224.56</v>
      </c>
      <c r="G57" s="2">
        <v>224.56</v>
      </c>
      <c r="H57" s="11">
        <f t="shared" si="0"/>
        <v>0</v>
      </c>
      <c r="I57" s="11">
        <f t="shared" si="1"/>
        <v>0</v>
      </c>
    </row>
    <row r="58" spans="1:9" hidden="1">
      <c r="A58" s="1"/>
      <c r="B58" s="1"/>
      <c r="C58" s="5" t="s">
        <v>123</v>
      </c>
      <c r="D58" s="5" t="s">
        <v>124</v>
      </c>
      <c r="E58" s="2">
        <v>0</v>
      </c>
      <c r="F58" s="2">
        <v>0</v>
      </c>
      <c r="G58" s="2">
        <v>0</v>
      </c>
      <c r="H58" s="11">
        <f t="shared" si="0"/>
        <v>0</v>
      </c>
      <c r="I58" s="11">
        <f t="shared" si="1"/>
        <v>0</v>
      </c>
    </row>
    <row r="59" spans="1:9" hidden="1">
      <c r="A59" s="1"/>
      <c r="B59" s="1"/>
      <c r="C59" s="5" t="s">
        <v>125</v>
      </c>
      <c r="D59" s="5" t="s">
        <v>126</v>
      </c>
      <c r="E59" s="2">
        <v>0</v>
      </c>
      <c r="F59" s="2">
        <v>0</v>
      </c>
      <c r="G59" s="2">
        <v>0</v>
      </c>
      <c r="H59" s="11">
        <f t="shared" si="0"/>
        <v>0</v>
      </c>
      <c r="I59" s="11">
        <f t="shared" si="1"/>
        <v>0</v>
      </c>
    </row>
    <row r="60" spans="1:9" hidden="1">
      <c r="A60" s="1"/>
      <c r="B60" s="1"/>
      <c r="C60" s="5" t="s">
        <v>127</v>
      </c>
      <c r="D60" s="5" t="s">
        <v>128</v>
      </c>
      <c r="E60" s="2">
        <v>0</v>
      </c>
      <c r="F60" s="2">
        <v>0</v>
      </c>
      <c r="G60" s="2">
        <v>0</v>
      </c>
      <c r="H60" s="11">
        <f t="shared" si="0"/>
        <v>0</v>
      </c>
      <c r="I60" s="11">
        <f t="shared" si="1"/>
        <v>0</v>
      </c>
    </row>
    <row r="61" spans="1:9" hidden="1">
      <c r="A61" s="1"/>
      <c r="B61" s="1"/>
      <c r="C61" s="5" t="s">
        <v>129</v>
      </c>
      <c r="D61" s="5" t="s">
        <v>130</v>
      </c>
      <c r="E61" s="2">
        <v>-64107.5</v>
      </c>
      <c r="F61" s="2">
        <v>-64107.5</v>
      </c>
      <c r="G61" s="2">
        <v>-64107.5</v>
      </c>
      <c r="H61" s="11">
        <f t="shared" si="0"/>
        <v>0</v>
      </c>
      <c r="I61" s="11">
        <f t="shared" si="1"/>
        <v>0</v>
      </c>
    </row>
    <row r="62" spans="1:9">
      <c r="A62" s="1"/>
      <c r="B62" s="1"/>
      <c r="C62" s="5" t="s">
        <v>131</v>
      </c>
      <c r="D62" s="5" t="s">
        <v>132</v>
      </c>
      <c r="E62" s="2">
        <v>8261.0499999999993</v>
      </c>
      <c r="F62" s="2">
        <v>8293.19</v>
      </c>
      <c r="G62" s="2">
        <v>8293.19</v>
      </c>
      <c r="H62" s="11">
        <f t="shared" si="0"/>
        <v>32.140000000001237</v>
      </c>
      <c r="I62" s="11">
        <f t="shared" si="1"/>
        <v>0</v>
      </c>
    </row>
    <row r="63" spans="1:9" hidden="1">
      <c r="A63" s="1"/>
      <c r="B63" s="1"/>
      <c r="C63" s="5" t="s">
        <v>133</v>
      </c>
      <c r="D63" s="5" t="s">
        <v>134</v>
      </c>
      <c r="E63" s="2">
        <v>594.33000000000004</v>
      </c>
      <c r="F63" s="2">
        <v>594.33000000000004</v>
      </c>
      <c r="G63" s="2">
        <v>594.33000000000004</v>
      </c>
      <c r="H63" s="11">
        <f t="shared" si="0"/>
        <v>0</v>
      </c>
      <c r="I63" s="11">
        <f t="shared" si="1"/>
        <v>0</v>
      </c>
    </row>
    <row r="64" spans="1:9">
      <c r="A64" s="1"/>
      <c r="B64" s="1"/>
      <c r="C64" s="5" t="s">
        <v>135</v>
      </c>
      <c r="D64" s="5" t="s">
        <v>136</v>
      </c>
      <c r="E64" s="2">
        <v>522930</v>
      </c>
      <c r="F64" s="2">
        <v>-11.26</v>
      </c>
      <c r="G64" s="2">
        <v>-11.26</v>
      </c>
      <c r="H64" s="11">
        <f t="shared" si="0"/>
        <v>-522941.26</v>
      </c>
      <c r="I64" s="11">
        <f t="shared" si="1"/>
        <v>0</v>
      </c>
    </row>
    <row r="65" spans="1:9">
      <c r="A65" s="1"/>
      <c r="B65" s="1"/>
      <c r="C65" s="5" t="s">
        <v>137</v>
      </c>
      <c r="D65" s="5" t="s">
        <v>138</v>
      </c>
      <c r="E65" s="2">
        <v>-29164.27</v>
      </c>
      <c r="F65" s="2">
        <v>493776.99</v>
      </c>
      <c r="G65" s="2">
        <v>493776.99</v>
      </c>
      <c r="H65" s="11">
        <f t="shared" si="0"/>
        <v>522941.26</v>
      </c>
      <c r="I65" s="11">
        <f t="shared" si="1"/>
        <v>0</v>
      </c>
    </row>
    <row r="66" spans="1:9">
      <c r="A66" s="1"/>
      <c r="B66" s="1"/>
      <c r="C66" s="5" t="s">
        <v>139</v>
      </c>
      <c r="D66" s="5" t="s">
        <v>140</v>
      </c>
      <c r="E66" s="2">
        <v>607710</v>
      </c>
      <c r="F66" s="2">
        <v>607707</v>
      </c>
      <c r="G66" s="2">
        <v>67775.25</v>
      </c>
      <c r="H66" s="11">
        <f t="shared" si="0"/>
        <v>-3</v>
      </c>
      <c r="I66" s="11">
        <f t="shared" si="1"/>
        <v>-539931.75</v>
      </c>
    </row>
    <row r="67" spans="1:9" hidden="1">
      <c r="A67" s="1"/>
      <c r="B67" s="1"/>
      <c r="C67" s="5" t="s">
        <v>141</v>
      </c>
      <c r="D67" s="5" t="s">
        <v>142</v>
      </c>
      <c r="E67" s="2">
        <v>-367006154.25999999</v>
      </c>
      <c r="F67" s="2">
        <v>-367006154.25999999</v>
      </c>
      <c r="G67" s="2">
        <v>-18350307.719999999</v>
      </c>
      <c r="H67" s="11">
        <f t="shared" si="0"/>
        <v>0</v>
      </c>
      <c r="I67" s="11">
        <f t="shared" si="1"/>
        <v>348655846.53999996</v>
      </c>
    </row>
    <row r="68" spans="1:9" hidden="1">
      <c r="A68" s="1"/>
      <c r="B68" s="1"/>
      <c r="C68" s="5" t="s">
        <v>143</v>
      </c>
      <c r="D68" s="5" t="s">
        <v>144</v>
      </c>
      <c r="E68" s="2">
        <v>-1199540.51</v>
      </c>
      <c r="F68" s="2">
        <v>-1199540.51</v>
      </c>
      <c r="G68" s="2">
        <v>-1199540.51</v>
      </c>
      <c r="H68" s="11">
        <f t="shared" si="0"/>
        <v>0</v>
      </c>
      <c r="I68" s="11">
        <f t="shared" si="1"/>
        <v>0</v>
      </c>
    </row>
    <row r="69" spans="1:9" hidden="1">
      <c r="A69" s="1"/>
      <c r="B69" s="1"/>
      <c r="C69" s="5" t="s">
        <v>145</v>
      </c>
      <c r="D69" s="5" t="s">
        <v>146</v>
      </c>
      <c r="E69" s="2">
        <v>327.45999999999998</v>
      </c>
      <c r="F69" s="2">
        <v>327.45999999999998</v>
      </c>
      <c r="G69" s="2">
        <v>327.45999999999998</v>
      </c>
      <c r="H69" s="11">
        <f t="shared" si="0"/>
        <v>0</v>
      </c>
      <c r="I69" s="11">
        <f t="shared" si="1"/>
        <v>0</v>
      </c>
    </row>
    <row r="70" spans="1:9" hidden="1">
      <c r="A70" s="1"/>
      <c r="B70" s="1"/>
      <c r="C70" s="5" t="s">
        <v>147</v>
      </c>
      <c r="D70" s="5" t="s">
        <v>148</v>
      </c>
      <c r="E70" s="2">
        <v>-25570.68</v>
      </c>
      <c r="F70" s="2">
        <v>-25570.68</v>
      </c>
      <c r="G70" s="2">
        <v>-25570.68</v>
      </c>
      <c r="H70" s="11">
        <f t="shared" ref="H70:H133" si="2">F70-E70</f>
        <v>0</v>
      </c>
      <c r="I70" s="11">
        <f t="shared" ref="I70:I133" si="3">G70-F70</f>
        <v>0</v>
      </c>
    </row>
    <row r="71" spans="1:9" hidden="1">
      <c r="A71" s="1"/>
      <c r="B71" s="1"/>
      <c r="C71" s="5" t="s">
        <v>149</v>
      </c>
      <c r="D71" s="5" t="s">
        <v>150</v>
      </c>
      <c r="E71" s="2">
        <v>21220.21</v>
      </c>
      <c r="F71" s="2">
        <v>21220.21</v>
      </c>
      <c r="G71" s="2">
        <v>21220.21</v>
      </c>
      <c r="H71" s="11">
        <f t="shared" si="2"/>
        <v>0</v>
      </c>
      <c r="I71" s="11">
        <f t="shared" si="3"/>
        <v>0</v>
      </c>
    </row>
    <row r="72" spans="1:9">
      <c r="A72" s="1"/>
      <c r="B72" s="1"/>
      <c r="C72" s="5" t="s">
        <v>151</v>
      </c>
      <c r="D72" s="5" t="s">
        <v>152</v>
      </c>
      <c r="E72" s="2">
        <v>2374000.02</v>
      </c>
      <c r="F72" s="2">
        <v>0</v>
      </c>
      <c r="G72" s="2">
        <v>0</v>
      </c>
      <c r="H72" s="11">
        <f t="shared" si="2"/>
        <v>-2374000.02</v>
      </c>
      <c r="I72" s="11">
        <f t="shared" si="3"/>
        <v>0</v>
      </c>
    </row>
    <row r="73" spans="1:9">
      <c r="A73" s="1"/>
      <c r="B73" s="1"/>
      <c r="C73" s="5" t="s">
        <v>153</v>
      </c>
      <c r="D73" s="5" t="s">
        <v>154</v>
      </c>
      <c r="E73" s="2">
        <v>43000.02</v>
      </c>
      <c r="F73" s="2">
        <v>0</v>
      </c>
      <c r="G73" s="2">
        <v>0</v>
      </c>
      <c r="H73" s="11">
        <f t="shared" si="2"/>
        <v>-43000.02</v>
      </c>
      <c r="I73" s="11">
        <f t="shared" si="3"/>
        <v>0</v>
      </c>
    </row>
    <row r="74" spans="1:9">
      <c r="A74" s="1"/>
      <c r="B74" s="1"/>
      <c r="C74" s="5" t="s">
        <v>155</v>
      </c>
      <c r="D74" s="5" t="s">
        <v>156</v>
      </c>
      <c r="E74" s="2">
        <v>40000.019999999997</v>
      </c>
      <c r="F74" s="2">
        <v>0</v>
      </c>
      <c r="G74" s="2">
        <v>0</v>
      </c>
      <c r="H74" s="11">
        <f t="shared" si="2"/>
        <v>-40000.019999999997</v>
      </c>
      <c r="I74" s="11">
        <f t="shared" si="3"/>
        <v>0</v>
      </c>
    </row>
    <row r="75" spans="1:9" hidden="1">
      <c r="A75" s="1"/>
      <c r="B75" s="1"/>
      <c r="C75" s="5" t="s">
        <v>157</v>
      </c>
      <c r="D75" s="5" t="s">
        <v>158</v>
      </c>
      <c r="E75" s="2">
        <v>-8956.19</v>
      </c>
      <c r="F75" s="2">
        <v>-8956.19</v>
      </c>
      <c r="G75" s="2">
        <v>-8956.19</v>
      </c>
      <c r="H75" s="11">
        <f t="shared" si="2"/>
        <v>0</v>
      </c>
      <c r="I75" s="11">
        <f t="shared" si="3"/>
        <v>0</v>
      </c>
    </row>
    <row r="76" spans="1:9" hidden="1">
      <c r="A76" s="1"/>
      <c r="B76" s="1"/>
      <c r="C76" s="5" t="s">
        <v>159</v>
      </c>
      <c r="D76" s="5" t="s">
        <v>160</v>
      </c>
      <c r="E76" s="2">
        <v>4004918.5</v>
      </c>
      <c r="F76" s="2">
        <v>4004918.5</v>
      </c>
      <c r="G76" s="2">
        <v>4004918.5</v>
      </c>
      <c r="H76" s="11">
        <f t="shared" si="2"/>
        <v>0</v>
      </c>
      <c r="I76" s="11">
        <f t="shared" si="3"/>
        <v>0</v>
      </c>
    </row>
    <row r="77" spans="1:9" hidden="1">
      <c r="A77" s="1"/>
      <c r="B77" s="1"/>
      <c r="C77" s="5" t="s">
        <v>161</v>
      </c>
      <c r="D77" s="5" t="s">
        <v>162</v>
      </c>
      <c r="E77" s="2"/>
      <c r="F77" s="2"/>
      <c r="G77" s="2">
        <v>3247939.96</v>
      </c>
      <c r="H77" s="11">
        <f t="shared" si="2"/>
        <v>0</v>
      </c>
      <c r="I77" s="11">
        <f t="shared" si="3"/>
        <v>3247939.96</v>
      </c>
    </row>
    <row r="78" spans="1:9" hidden="1">
      <c r="A78" s="1"/>
      <c r="B78" s="1"/>
      <c r="C78" s="5" t="s">
        <v>163</v>
      </c>
      <c r="D78" s="5" t="s">
        <v>164</v>
      </c>
      <c r="E78" s="2">
        <v>14080627.83</v>
      </c>
      <c r="F78" s="2">
        <v>14080627.83</v>
      </c>
      <c r="G78" s="2">
        <v>14080627.83</v>
      </c>
      <c r="H78" s="11">
        <f t="shared" si="2"/>
        <v>0</v>
      </c>
      <c r="I78" s="11">
        <f t="shared" si="3"/>
        <v>0</v>
      </c>
    </row>
    <row r="79" spans="1:9">
      <c r="A79" s="1"/>
      <c r="B79" s="1"/>
      <c r="C79" s="5" t="s">
        <v>165</v>
      </c>
      <c r="D79" s="5" t="s">
        <v>166</v>
      </c>
      <c r="E79" s="2">
        <v>-95.77</v>
      </c>
      <c r="F79" s="2"/>
      <c r="G79" s="2"/>
      <c r="H79" s="11">
        <f t="shared" si="2"/>
        <v>95.77</v>
      </c>
      <c r="I79" s="11">
        <f t="shared" si="3"/>
        <v>0</v>
      </c>
    </row>
    <row r="80" spans="1:9" hidden="1">
      <c r="A80" s="1"/>
      <c r="B80" s="1"/>
      <c r="C80" s="5" t="s">
        <v>167</v>
      </c>
      <c r="D80" s="5" t="s">
        <v>168</v>
      </c>
      <c r="E80" s="2">
        <v>18350307.719999999</v>
      </c>
      <c r="F80" s="2">
        <v>18350307.719999999</v>
      </c>
      <c r="G80" s="2">
        <v>18350307.719999999</v>
      </c>
      <c r="H80" s="11">
        <f t="shared" si="2"/>
        <v>0</v>
      </c>
      <c r="I80" s="11">
        <f t="shared" si="3"/>
        <v>0</v>
      </c>
    </row>
    <row r="81" spans="1:9">
      <c r="A81" s="1"/>
      <c r="B81" s="1"/>
      <c r="C81" s="9" t="s">
        <v>169</v>
      </c>
      <c r="D81" s="7"/>
      <c r="E81" s="8">
        <v>-300807723.47000003</v>
      </c>
      <c r="F81" s="8">
        <v>-318454433.64999998</v>
      </c>
      <c r="G81" s="8">
        <v>30893999.559999999</v>
      </c>
      <c r="H81" s="11">
        <f t="shared" si="2"/>
        <v>-17646710.179999948</v>
      </c>
      <c r="I81" s="11">
        <f t="shared" si="3"/>
        <v>349348433.20999998</v>
      </c>
    </row>
    <row r="82" spans="1:9" hidden="1">
      <c r="A82" s="5" t="s">
        <v>170</v>
      </c>
      <c r="B82" s="5" t="s">
        <v>171</v>
      </c>
      <c r="C82" s="5" t="s">
        <v>172</v>
      </c>
      <c r="D82" s="5" t="s">
        <v>173</v>
      </c>
      <c r="E82" s="2">
        <v>-820336677.71000004</v>
      </c>
      <c r="F82" s="2">
        <v>-820336677.71000004</v>
      </c>
      <c r="G82" s="2">
        <v>-820336677.71000004</v>
      </c>
      <c r="H82" s="11">
        <f t="shared" si="2"/>
        <v>0</v>
      </c>
      <c r="I82" s="11">
        <f t="shared" si="3"/>
        <v>0</v>
      </c>
    </row>
    <row r="83" spans="1:9" hidden="1">
      <c r="A83" s="1"/>
      <c r="B83" s="1"/>
      <c r="C83" s="5" t="s">
        <v>174</v>
      </c>
      <c r="D83" s="5" t="s">
        <v>175</v>
      </c>
      <c r="E83" s="2">
        <v>5447230.4199999999</v>
      </c>
      <c r="F83" s="2">
        <v>5447230.4199999999</v>
      </c>
      <c r="G83" s="2">
        <v>5447230.4199999999</v>
      </c>
      <c r="H83" s="11">
        <f t="shared" si="2"/>
        <v>0</v>
      </c>
      <c r="I83" s="11">
        <f t="shared" si="3"/>
        <v>0</v>
      </c>
    </row>
    <row r="84" spans="1:9" hidden="1">
      <c r="A84" s="1"/>
      <c r="B84" s="1"/>
      <c r="C84" s="5" t="s">
        <v>176</v>
      </c>
      <c r="D84" s="5" t="s">
        <v>177</v>
      </c>
      <c r="E84" s="2">
        <v>-98414221.609999999</v>
      </c>
      <c r="F84" s="2">
        <v>-98414221.609999999</v>
      </c>
      <c r="G84" s="2">
        <v>-98414221.609999999</v>
      </c>
      <c r="H84" s="11">
        <f t="shared" si="2"/>
        <v>0</v>
      </c>
      <c r="I84" s="11">
        <f t="shared" si="3"/>
        <v>0</v>
      </c>
    </row>
    <row r="85" spans="1:9" hidden="1">
      <c r="A85" s="1"/>
      <c r="B85" s="1"/>
      <c r="C85" s="5" t="s">
        <v>178</v>
      </c>
      <c r="D85" s="5" t="s">
        <v>179</v>
      </c>
      <c r="E85" s="2">
        <v>-1351512.65</v>
      </c>
      <c r="F85" s="2">
        <v>-1351512.65</v>
      </c>
      <c r="G85" s="2">
        <v>-1351512.65</v>
      </c>
      <c r="H85" s="11">
        <f t="shared" si="2"/>
        <v>0</v>
      </c>
      <c r="I85" s="11">
        <f t="shared" si="3"/>
        <v>0</v>
      </c>
    </row>
    <row r="86" spans="1:9" hidden="1">
      <c r="A86" s="1"/>
      <c r="B86" s="1"/>
      <c r="C86" s="5" t="s">
        <v>180</v>
      </c>
      <c r="D86" s="5" t="s">
        <v>181</v>
      </c>
      <c r="E86" s="2">
        <v>-80722081.430000007</v>
      </c>
      <c r="F86" s="2">
        <v>-80722081.430000007</v>
      </c>
      <c r="G86" s="2">
        <v>-80722081.430000007</v>
      </c>
      <c r="H86" s="11">
        <f t="shared" si="2"/>
        <v>0</v>
      </c>
      <c r="I86" s="11">
        <f t="shared" si="3"/>
        <v>0</v>
      </c>
    </row>
    <row r="87" spans="1:9" hidden="1">
      <c r="A87" s="1"/>
      <c r="B87" s="1"/>
      <c r="C87" s="5" t="s">
        <v>182</v>
      </c>
      <c r="D87" s="5" t="s">
        <v>183</v>
      </c>
      <c r="E87" s="2">
        <v>570804123.90999997</v>
      </c>
      <c r="F87" s="2">
        <v>570804123.90999997</v>
      </c>
      <c r="G87" s="2">
        <v>570804123.90999997</v>
      </c>
      <c r="H87" s="11">
        <f t="shared" si="2"/>
        <v>0</v>
      </c>
      <c r="I87" s="11">
        <f t="shared" si="3"/>
        <v>0</v>
      </c>
    </row>
    <row r="88" spans="1:9">
      <c r="A88" s="1"/>
      <c r="B88" s="1"/>
      <c r="C88" s="5" t="s">
        <v>184</v>
      </c>
      <c r="D88" s="5" t="s">
        <v>185</v>
      </c>
      <c r="E88" s="2">
        <v>30810493.890000001</v>
      </c>
      <c r="F88" s="2"/>
      <c r="G88" s="2"/>
      <c r="H88" s="11">
        <f t="shared" si="2"/>
        <v>-30810493.890000001</v>
      </c>
      <c r="I88" s="11">
        <f t="shared" si="3"/>
        <v>0</v>
      </c>
    </row>
    <row r="89" spans="1:9" hidden="1">
      <c r="A89" s="1"/>
      <c r="B89" s="1"/>
      <c r="C89" s="5" t="s">
        <v>186</v>
      </c>
      <c r="D89" s="5" t="s">
        <v>187</v>
      </c>
      <c r="E89" s="2">
        <v>55866.96</v>
      </c>
      <c r="F89" s="2">
        <v>55866.96</v>
      </c>
      <c r="G89" s="2">
        <v>55866.96</v>
      </c>
      <c r="H89" s="11">
        <f t="shared" si="2"/>
        <v>0</v>
      </c>
      <c r="I89" s="11">
        <f t="shared" si="3"/>
        <v>0</v>
      </c>
    </row>
    <row r="90" spans="1:9" hidden="1">
      <c r="A90" s="1"/>
      <c r="B90" s="1"/>
      <c r="C90" s="5" t="s">
        <v>188</v>
      </c>
      <c r="D90" s="5" t="s">
        <v>189</v>
      </c>
      <c r="E90" s="2">
        <v>3900083.64</v>
      </c>
      <c r="F90" s="2">
        <v>3900083.64</v>
      </c>
      <c r="G90" s="2">
        <v>3900083.64</v>
      </c>
      <c r="H90" s="11">
        <f t="shared" si="2"/>
        <v>0</v>
      </c>
      <c r="I90" s="11">
        <f t="shared" si="3"/>
        <v>0</v>
      </c>
    </row>
    <row r="91" spans="1:9" hidden="1">
      <c r="A91" s="1"/>
      <c r="B91" s="1"/>
      <c r="C91" s="5" t="s">
        <v>190</v>
      </c>
      <c r="D91" s="5" t="s">
        <v>191</v>
      </c>
      <c r="E91" s="2">
        <v>5515830.4199999999</v>
      </c>
      <c r="F91" s="2">
        <v>5515830.4199999999</v>
      </c>
      <c r="G91" s="2">
        <v>5515830.4199999999</v>
      </c>
      <c r="H91" s="11">
        <f t="shared" si="2"/>
        <v>0</v>
      </c>
      <c r="I91" s="11">
        <f t="shared" si="3"/>
        <v>0</v>
      </c>
    </row>
    <row r="92" spans="1:9" hidden="1">
      <c r="A92" s="1"/>
      <c r="B92" s="1"/>
      <c r="C92" s="5" t="s">
        <v>192</v>
      </c>
      <c r="D92" s="5" t="s">
        <v>193</v>
      </c>
      <c r="E92" s="2">
        <v>10496820.75</v>
      </c>
      <c r="F92" s="2">
        <v>10496820.75</v>
      </c>
      <c r="G92" s="2">
        <v>10496820.75</v>
      </c>
      <c r="H92" s="11">
        <f t="shared" si="2"/>
        <v>0</v>
      </c>
      <c r="I92" s="11">
        <f t="shared" si="3"/>
        <v>0</v>
      </c>
    </row>
    <row r="93" spans="1:9">
      <c r="A93" s="1"/>
      <c r="B93" s="1"/>
      <c r="C93" s="5" t="s">
        <v>194</v>
      </c>
      <c r="D93" s="5" t="s">
        <v>195</v>
      </c>
      <c r="E93" s="2">
        <v>26332353.07</v>
      </c>
      <c r="F93" s="2">
        <v>26400726.390000001</v>
      </c>
      <c r="G93" s="2">
        <v>26400726.390000001</v>
      </c>
      <c r="H93" s="11">
        <f t="shared" si="2"/>
        <v>68373.320000000298</v>
      </c>
      <c r="I93" s="11">
        <f t="shared" si="3"/>
        <v>0</v>
      </c>
    </row>
    <row r="94" spans="1:9" hidden="1">
      <c r="A94" s="1"/>
      <c r="B94" s="1"/>
      <c r="C94" s="5" t="s">
        <v>196</v>
      </c>
      <c r="D94" s="5" t="s">
        <v>197</v>
      </c>
      <c r="E94" s="2">
        <v>12000</v>
      </c>
      <c r="F94" s="2">
        <v>12000</v>
      </c>
      <c r="G94" s="2">
        <v>12000</v>
      </c>
      <c r="H94" s="11">
        <f t="shared" si="2"/>
        <v>0</v>
      </c>
      <c r="I94" s="11">
        <f t="shared" si="3"/>
        <v>0</v>
      </c>
    </row>
    <row r="95" spans="1:9" hidden="1">
      <c r="A95" s="1"/>
      <c r="B95" s="1"/>
      <c r="C95" s="5" t="s">
        <v>198</v>
      </c>
      <c r="D95" s="5" t="s">
        <v>199</v>
      </c>
      <c r="E95" s="2">
        <v>2174689.88</v>
      </c>
      <c r="F95" s="2">
        <v>2174689.88</v>
      </c>
      <c r="G95" s="2">
        <v>2174689.88</v>
      </c>
      <c r="H95" s="11">
        <f t="shared" si="2"/>
        <v>0</v>
      </c>
      <c r="I95" s="11">
        <f t="shared" si="3"/>
        <v>0</v>
      </c>
    </row>
    <row r="96" spans="1:9" hidden="1">
      <c r="A96" s="1"/>
      <c r="B96" s="1"/>
      <c r="C96" s="5" t="s">
        <v>200</v>
      </c>
      <c r="D96" s="5" t="s">
        <v>201</v>
      </c>
      <c r="E96" s="2">
        <v>0</v>
      </c>
      <c r="F96" s="2">
        <v>0</v>
      </c>
      <c r="G96" s="2">
        <v>0</v>
      </c>
      <c r="H96" s="11">
        <f t="shared" si="2"/>
        <v>0</v>
      </c>
      <c r="I96" s="11">
        <f t="shared" si="3"/>
        <v>0</v>
      </c>
    </row>
    <row r="97" spans="1:9" hidden="1">
      <c r="A97" s="1"/>
      <c r="B97" s="1"/>
      <c r="C97" s="5" t="s">
        <v>202</v>
      </c>
      <c r="D97" s="5" t="s">
        <v>203</v>
      </c>
      <c r="E97" s="2">
        <v>305.36</v>
      </c>
      <c r="F97" s="2">
        <v>305.36</v>
      </c>
      <c r="G97" s="2">
        <v>305.36</v>
      </c>
      <c r="H97" s="11">
        <f t="shared" si="2"/>
        <v>0</v>
      </c>
      <c r="I97" s="11">
        <f t="shared" si="3"/>
        <v>0</v>
      </c>
    </row>
    <row r="98" spans="1:9" hidden="1">
      <c r="A98" s="1"/>
      <c r="B98" s="1"/>
      <c r="C98" s="5" t="s">
        <v>204</v>
      </c>
      <c r="D98" s="5" t="s">
        <v>205</v>
      </c>
      <c r="E98" s="2">
        <v>3687.6</v>
      </c>
      <c r="F98" s="2">
        <v>3687.6</v>
      </c>
      <c r="G98" s="2">
        <v>3687.6</v>
      </c>
      <c r="H98" s="11">
        <f t="shared" si="2"/>
        <v>0</v>
      </c>
      <c r="I98" s="11">
        <f t="shared" si="3"/>
        <v>0</v>
      </c>
    </row>
    <row r="99" spans="1:9" hidden="1">
      <c r="A99" s="1"/>
      <c r="B99" s="1"/>
      <c r="C99" s="5" t="s">
        <v>206</v>
      </c>
      <c r="D99" s="5" t="s">
        <v>207</v>
      </c>
      <c r="E99" s="2">
        <v>0.01</v>
      </c>
      <c r="F99" s="2">
        <v>0.01</v>
      </c>
      <c r="G99" s="2">
        <v>0.01</v>
      </c>
      <c r="H99" s="11">
        <f t="shared" si="2"/>
        <v>0</v>
      </c>
      <c r="I99" s="11">
        <f t="shared" si="3"/>
        <v>0</v>
      </c>
    </row>
    <row r="100" spans="1:9" hidden="1">
      <c r="A100" s="1"/>
      <c r="B100" s="1"/>
      <c r="C100" s="5" t="s">
        <v>208</v>
      </c>
      <c r="D100" s="5" t="s">
        <v>209</v>
      </c>
      <c r="E100" s="2">
        <v>13719.95</v>
      </c>
      <c r="F100" s="2">
        <v>13719.95</v>
      </c>
      <c r="G100" s="2">
        <v>13719.95</v>
      </c>
      <c r="H100" s="11">
        <f t="shared" si="2"/>
        <v>0</v>
      </c>
      <c r="I100" s="11">
        <f t="shared" si="3"/>
        <v>0</v>
      </c>
    </row>
    <row r="101" spans="1:9" hidden="1">
      <c r="A101" s="1"/>
      <c r="B101" s="1"/>
      <c r="C101" s="5" t="s">
        <v>210</v>
      </c>
      <c r="D101" s="5" t="s">
        <v>211</v>
      </c>
      <c r="E101" s="2">
        <v>0</v>
      </c>
      <c r="F101" s="2">
        <v>0</v>
      </c>
      <c r="G101" s="2">
        <v>0</v>
      </c>
      <c r="H101" s="11">
        <f t="shared" si="2"/>
        <v>0</v>
      </c>
      <c r="I101" s="11">
        <f t="shared" si="3"/>
        <v>0</v>
      </c>
    </row>
    <row r="102" spans="1:9" hidden="1">
      <c r="A102" s="1"/>
      <c r="B102" s="1"/>
      <c r="C102" s="5" t="s">
        <v>212</v>
      </c>
      <c r="D102" s="5" t="s">
        <v>213</v>
      </c>
      <c r="E102" s="2">
        <v>2397454.06</v>
      </c>
      <c r="F102" s="2">
        <v>2397454.06</v>
      </c>
      <c r="G102" s="2">
        <v>2397454.06</v>
      </c>
      <c r="H102" s="11">
        <f t="shared" si="2"/>
        <v>0</v>
      </c>
      <c r="I102" s="11">
        <f t="shared" si="3"/>
        <v>0</v>
      </c>
    </row>
    <row r="103" spans="1:9" hidden="1">
      <c r="A103" s="1"/>
      <c r="B103" s="1"/>
      <c r="C103" s="5" t="s">
        <v>214</v>
      </c>
      <c r="D103" s="5" t="s">
        <v>215</v>
      </c>
      <c r="E103" s="2">
        <v>0</v>
      </c>
      <c r="F103" s="2">
        <v>0</v>
      </c>
      <c r="G103" s="2">
        <v>0</v>
      </c>
      <c r="H103" s="11">
        <f t="shared" si="2"/>
        <v>0</v>
      </c>
      <c r="I103" s="11">
        <f t="shared" si="3"/>
        <v>0</v>
      </c>
    </row>
    <row r="104" spans="1:9" hidden="1">
      <c r="A104" s="1"/>
      <c r="B104" s="1"/>
      <c r="C104" s="5" t="s">
        <v>216</v>
      </c>
      <c r="D104" s="5" t="s">
        <v>217</v>
      </c>
      <c r="E104" s="2">
        <v>188274054.86000001</v>
      </c>
      <c r="F104" s="2">
        <v>188274054.86000001</v>
      </c>
      <c r="G104" s="2">
        <v>188274054.86000001</v>
      </c>
      <c r="H104" s="11">
        <f t="shared" si="2"/>
        <v>0</v>
      </c>
      <c r="I104" s="11">
        <f t="shared" si="3"/>
        <v>0</v>
      </c>
    </row>
    <row r="105" spans="1:9" hidden="1">
      <c r="A105" s="1"/>
      <c r="B105" s="1"/>
      <c r="C105" s="5" t="s">
        <v>218</v>
      </c>
      <c r="D105" s="5" t="s">
        <v>219</v>
      </c>
      <c r="E105" s="2">
        <v>1023.46</v>
      </c>
      <c r="F105" s="2">
        <v>1023.46</v>
      </c>
      <c r="G105" s="2">
        <v>1023.46</v>
      </c>
      <c r="H105" s="11">
        <f t="shared" si="2"/>
        <v>0</v>
      </c>
      <c r="I105" s="11">
        <f t="shared" si="3"/>
        <v>0</v>
      </c>
    </row>
    <row r="106" spans="1:9" hidden="1">
      <c r="A106" s="1"/>
      <c r="B106" s="1"/>
      <c r="C106" s="5" t="s">
        <v>220</v>
      </c>
      <c r="D106" s="5" t="s">
        <v>221</v>
      </c>
      <c r="E106" s="2">
        <v>-311.45999999999998</v>
      </c>
      <c r="F106" s="2">
        <v>-311.45999999999998</v>
      </c>
      <c r="G106" s="2">
        <v>-311.45999999999998</v>
      </c>
      <c r="H106" s="11">
        <f t="shared" si="2"/>
        <v>0</v>
      </c>
      <c r="I106" s="11">
        <f t="shared" si="3"/>
        <v>0</v>
      </c>
    </row>
    <row r="107" spans="1:9" hidden="1">
      <c r="A107" s="1"/>
      <c r="B107" s="1"/>
      <c r="C107" s="5" t="s">
        <v>222</v>
      </c>
      <c r="D107" s="5" t="s">
        <v>223</v>
      </c>
      <c r="E107" s="2">
        <v>0</v>
      </c>
      <c r="F107" s="2">
        <v>0</v>
      </c>
      <c r="G107" s="2">
        <v>0</v>
      </c>
      <c r="H107" s="11">
        <f t="shared" si="2"/>
        <v>0</v>
      </c>
      <c r="I107" s="11">
        <f t="shared" si="3"/>
        <v>0</v>
      </c>
    </row>
    <row r="108" spans="1:9" hidden="1">
      <c r="A108" s="1"/>
      <c r="B108" s="1"/>
      <c r="C108" s="5" t="s">
        <v>224</v>
      </c>
      <c r="D108" s="5" t="s">
        <v>225</v>
      </c>
      <c r="E108" s="2">
        <v>-379.7</v>
      </c>
      <c r="F108" s="2">
        <v>-379.7</v>
      </c>
      <c r="G108" s="2">
        <v>-379.7</v>
      </c>
      <c r="H108" s="11">
        <f t="shared" si="2"/>
        <v>0</v>
      </c>
      <c r="I108" s="11">
        <f t="shared" si="3"/>
        <v>0</v>
      </c>
    </row>
    <row r="109" spans="1:9" hidden="1">
      <c r="A109" s="1"/>
      <c r="B109" s="1"/>
      <c r="C109" s="5" t="s">
        <v>226</v>
      </c>
      <c r="D109" s="5" t="s">
        <v>227</v>
      </c>
      <c r="E109" s="2">
        <v>2597.33</v>
      </c>
      <c r="F109" s="2">
        <v>2597.33</v>
      </c>
      <c r="G109" s="2">
        <v>2597.33</v>
      </c>
      <c r="H109" s="11">
        <f t="shared" si="2"/>
        <v>0</v>
      </c>
      <c r="I109" s="11">
        <f t="shared" si="3"/>
        <v>0</v>
      </c>
    </row>
    <row r="110" spans="1:9" hidden="1">
      <c r="A110" s="1"/>
      <c r="B110" s="1"/>
      <c r="C110" s="5" t="s">
        <v>228</v>
      </c>
      <c r="D110" s="5" t="s">
        <v>229</v>
      </c>
      <c r="E110" s="2">
        <v>-4533.99</v>
      </c>
      <c r="F110" s="2">
        <v>-4533.99</v>
      </c>
      <c r="G110" s="2">
        <v>-4533.99</v>
      </c>
      <c r="H110" s="11">
        <f t="shared" si="2"/>
        <v>0</v>
      </c>
      <c r="I110" s="11">
        <f t="shared" si="3"/>
        <v>0</v>
      </c>
    </row>
    <row r="111" spans="1:9" hidden="1">
      <c r="A111" s="1"/>
      <c r="B111" s="1"/>
      <c r="C111" s="5" t="s">
        <v>230</v>
      </c>
      <c r="D111" s="5" t="s">
        <v>231</v>
      </c>
      <c r="E111" s="2">
        <v>13113.65</v>
      </c>
      <c r="F111" s="2">
        <v>13113.65</v>
      </c>
      <c r="G111" s="2">
        <v>13113.65</v>
      </c>
      <c r="H111" s="11">
        <f t="shared" si="2"/>
        <v>0</v>
      </c>
      <c r="I111" s="11">
        <f t="shared" si="3"/>
        <v>0</v>
      </c>
    </row>
    <row r="112" spans="1:9" hidden="1">
      <c r="A112" s="1"/>
      <c r="B112" s="1"/>
      <c r="C112" s="5" t="s">
        <v>232</v>
      </c>
      <c r="D112" s="5" t="s">
        <v>233</v>
      </c>
      <c r="E112" s="2">
        <v>1565618.71</v>
      </c>
      <c r="F112" s="2">
        <v>1565618.71</v>
      </c>
      <c r="G112" s="2">
        <v>1565618.71</v>
      </c>
      <c r="H112" s="11">
        <f t="shared" si="2"/>
        <v>0</v>
      </c>
      <c r="I112" s="11">
        <f t="shared" si="3"/>
        <v>0</v>
      </c>
    </row>
    <row r="113" spans="1:9" hidden="1">
      <c r="A113" s="1"/>
      <c r="B113" s="1"/>
      <c r="C113" s="5" t="s">
        <v>234</v>
      </c>
      <c r="D113" s="5" t="s">
        <v>235</v>
      </c>
      <c r="E113" s="2">
        <v>581455.28</v>
      </c>
      <c r="F113" s="2">
        <v>581455.28</v>
      </c>
      <c r="G113" s="2">
        <v>581455.28</v>
      </c>
      <c r="H113" s="11">
        <f t="shared" si="2"/>
        <v>0</v>
      </c>
      <c r="I113" s="11">
        <f t="shared" si="3"/>
        <v>0</v>
      </c>
    </row>
    <row r="114" spans="1:9" hidden="1">
      <c r="A114" s="1"/>
      <c r="B114" s="1"/>
      <c r="C114" s="5" t="s">
        <v>236</v>
      </c>
      <c r="D114" s="5" t="s">
        <v>237</v>
      </c>
      <c r="E114" s="2">
        <v>24154.16</v>
      </c>
      <c r="F114" s="2">
        <v>24154.16</v>
      </c>
      <c r="G114" s="2">
        <v>24154.16</v>
      </c>
      <c r="H114" s="11">
        <f t="shared" si="2"/>
        <v>0</v>
      </c>
      <c r="I114" s="11">
        <f t="shared" si="3"/>
        <v>0</v>
      </c>
    </row>
    <row r="115" spans="1:9" hidden="1">
      <c r="A115" s="1"/>
      <c r="B115" s="1"/>
      <c r="C115" s="5" t="s">
        <v>238</v>
      </c>
      <c r="D115" s="5" t="s">
        <v>239</v>
      </c>
      <c r="E115" s="2">
        <v>2860829.05</v>
      </c>
      <c r="F115" s="2">
        <v>2860829.05</v>
      </c>
      <c r="G115" s="2">
        <v>2860829.05</v>
      </c>
      <c r="H115" s="11">
        <f t="shared" si="2"/>
        <v>0</v>
      </c>
      <c r="I115" s="11">
        <f t="shared" si="3"/>
        <v>0</v>
      </c>
    </row>
    <row r="116" spans="1:9" hidden="1">
      <c r="A116" s="1"/>
      <c r="B116" s="1"/>
      <c r="C116" s="5" t="s">
        <v>240</v>
      </c>
      <c r="D116" s="5" t="s">
        <v>241</v>
      </c>
      <c r="E116" s="2">
        <v>-1023.46</v>
      </c>
      <c r="F116" s="2">
        <v>-1023.46</v>
      </c>
      <c r="G116" s="2">
        <v>-1023.46</v>
      </c>
      <c r="H116" s="11">
        <f t="shared" si="2"/>
        <v>0</v>
      </c>
      <c r="I116" s="11">
        <f t="shared" si="3"/>
        <v>0</v>
      </c>
    </row>
    <row r="117" spans="1:9" hidden="1">
      <c r="A117" s="1"/>
      <c r="B117" s="1"/>
      <c r="C117" s="5" t="s">
        <v>242</v>
      </c>
      <c r="D117" s="5" t="s">
        <v>243</v>
      </c>
      <c r="E117" s="2">
        <v>1874476.6</v>
      </c>
      <c r="F117" s="2">
        <v>1874476.6</v>
      </c>
      <c r="G117" s="2">
        <v>1874476.6</v>
      </c>
      <c r="H117" s="11">
        <f t="shared" si="2"/>
        <v>0</v>
      </c>
      <c r="I117" s="11">
        <f t="shared" si="3"/>
        <v>0</v>
      </c>
    </row>
    <row r="118" spans="1:9" hidden="1">
      <c r="A118" s="1"/>
      <c r="B118" s="1"/>
      <c r="C118" s="5" t="s">
        <v>244</v>
      </c>
      <c r="D118" s="5" t="s">
        <v>245</v>
      </c>
      <c r="E118" s="2">
        <v>-1867580.09</v>
      </c>
      <c r="F118" s="2">
        <v>-1867580.09</v>
      </c>
      <c r="G118" s="2">
        <v>-1867580.09</v>
      </c>
      <c r="H118" s="11">
        <f t="shared" si="2"/>
        <v>0</v>
      </c>
      <c r="I118" s="11">
        <f t="shared" si="3"/>
        <v>0</v>
      </c>
    </row>
    <row r="119" spans="1:9" hidden="1">
      <c r="A119" s="1"/>
      <c r="B119" s="1"/>
      <c r="C119" s="5" t="s">
        <v>246</v>
      </c>
      <c r="D119" s="5" t="s">
        <v>247</v>
      </c>
      <c r="E119" s="2">
        <v>26368.29</v>
      </c>
      <c r="F119" s="2">
        <v>26368.29</v>
      </c>
      <c r="G119" s="2">
        <v>26368.29</v>
      </c>
      <c r="H119" s="11">
        <f t="shared" si="2"/>
        <v>0</v>
      </c>
      <c r="I119" s="11">
        <f t="shared" si="3"/>
        <v>0</v>
      </c>
    </row>
    <row r="120" spans="1:9" hidden="1">
      <c r="A120" s="1"/>
      <c r="B120" s="1"/>
      <c r="C120" s="5" t="s">
        <v>248</v>
      </c>
      <c r="D120" s="5" t="s">
        <v>249</v>
      </c>
      <c r="E120" s="2">
        <v>670884.94999999995</v>
      </c>
      <c r="F120" s="2">
        <v>670884.94999999995</v>
      </c>
      <c r="G120" s="2">
        <v>670884.94999999995</v>
      </c>
      <c r="H120" s="11">
        <f t="shared" si="2"/>
        <v>0</v>
      </c>
      <c r="I120" s="11">
        <f t="shared" si="3"/>
        <v>0</v>
      </c>
    </row>
    <row r="121" spans="1:9" hidden="1">
      <c r="A121" s="1"/>
      <c r="B121" s="1"/>
      <c r="C121" s="5" t="s">
        <v>250</v>
      </c>
      <c r="D121" s="5" t="s">
        <v>251</v>
      </c>
      <c r="E121" s="2">
        <v>185005</v>
      </c>
      <c r="F121" s="2">
        <v>185005</v>
      </c>
      <c r="G121" s="2">
        <v>185005</v>
      </c>
      <c r="H121" s="11">
        <f t="shared" si="2"/>
        <v>0</v>
      </c>
      <c r="I121" s="11">
        <f t="shared" si="3"/>
        <v>0</v>
      </c>
    </row>
    <row r="122" spans="1:9" hidden="1">
      <c r="A122" s="1"/>
      <c r="B122" s="1"/>
      <c r="C122" s="5" t="s">
        <v>252</v>
      </c>
      <c r="D122" s="5" t="s">
        <v>253</v>
      </c>
      <c r="E122" s="2">
        <v>151477.47</v>
      </c>
      <c r="F122" s="2">
        <v>151477.47</v>
      </c>
      <c r="G122" s="2">
        <v>151477.47</v>
      </c>
      <c r="H122" s="11">
        <f t="shared" si="2"/>
        <v>0</v>
      </c>
      <c r="I122" s="11">
        <f t="shared" si="3"/>
        <v>0</v>
      </c>
    </row>
    <row r="123" spans="1:9" hidden="1">
      <c r="A123" s="1"/>
      <c r="B123" s="1"/>
      <c r="C123" s="5" t="s">
        <v>254</v>
      </c>
      <c r="D123" s="5" t="s">
        <v>255</v>
      </c>
      <c r="E123" s="2">
        <v>34155.480000000003</v>
      </c>
      <c r="F123" s="2">
        <v>34155.480000000003</v>
      </c>
      <c r="G123" s="2">
        <v>34155.480000000003</v>
      </c>
      <c r="H123" s="11">
        <f t="shared" si="2"/>
        <v>0</v>
      </c>
      <c r="I123" s="11">
        <f t="shared" si="3"/>
        <v>0</v>
      </c>
    </row>
    <row r="124" spans="1:9" hidden="1">
      <c r="A124" s="1"/>
      <c r="B124" s="1"/>
      <c r="C124" s="5" t="s">
        <v>256</v>
      </c>
      <c r="D124" s="5" t="s">
        <v>257</v>
      </c>
      <c r="E124" s="2">
        <v>122687.83</v>
      </c>
      <c r="F124" s="2">
        <v>122687.83</v>
      </c>
      <c r="G124" s="2">
        <v>122687.83</v>
      </c>
      <c r="H124" s="11">
        <f t="shared" si="2"/>
        <v>0</v>
      </c>
      <c r="I124" s="11">
        <f t="shared" si="3"/>
        <v>0</v>
      </c>
    </row>
    <row r="125" spans="1:9" hidden="1">
      <c r="A125" s="1"/>
      <c r="B125" s="1"/>
      <c r="C125" s="5" t="s">
        <v>258</v>
      </c>
      <c r="D125" s="5" t="s">
        <v>259</v>
      </c>
      <c r="E125" s="2">
        <v>792306.63</v>
      </c>
      <c r="F125" s="2">
        <v>792306.63</v>
      </c>
      <c r="G125" s="2">
        <v>792306.63</v>
      </c>
      <c r="H125" s="11">
        <f t="shared" si="2"/>
        <v>0</v>
      </c>
      <c r="I125" s="11">
        <f t="shared" si="3"/>
        <v>0</v>
      </c>
    </row>
    <row r="126" spans="1:9" hidden="1">
      <c r="A126" s="1"/>
      <c r="B126" s="1"/>
      <c r="C126" s="5" t="s">
        <v>260</v>
      </c>
      <c r="D126" s="5" t="s">
        <v>261</v>
      </c>
      <c r="E126" s="2">
        <v>3166638.92</v>
      </c>
      <c r="F126" s="2">
        <v>3166638.92</v>
      </c>
      <c r="G126" s="2">
        <v>3166638.92</v>
      </c>
      <c r="H126" s="11">
        <f t="shared" si="2"/>
        <v>0</v>
      </c>
      <c r="I126" s="11">
        <f t="shared" si="3"/>
        <v>0</v>
      </c>
    </row>
    <row r="127" spans="1:9" hidden="1">
      <c r="A127" s="1"/>
      <c r="B127" s="1"/>
      <c r="C127" s="5" t="s">
        <v>262</v>
      </c>
      <c r="D127" s="5" t="s">
        <v>263</v>
      </c>
      <c r="E127" s="2">
        <v>6919848.3399999999</v>
      </c>
      <c r="F127" s="2">
        <v>6919848.3399999999</v>
      </c>
      <c r="G127" s="2">
        <v>6919848.3399999999</v>
      </c>
      <c r="H127" s="11">
        <f t="shared" si="2"/>
        <v>0</v>
      </c>
      <c r="I127" s="11">
        <f t="shared" si="3"/>
        <v>0</v>
      </c>
    </row>
    <row r="128" spans="1:9" hidden="1">
      <c r="A128" s="1"/>
      <c r="B128" s="1"/>
      <c r="C128" s="5" t="s">
        <v>264</v>
      </c>
      <c r="D128" s="5" t="s">
        <v>265</v>
      </c>
      <c r="E128" s="2">
        <v>1034056.02</v>
      </c>
      <c r="F128" s="2">
        <v>1034056.02</v>
      </c>
      <c r="G128" s="2">
        <v>1034056.02</v>
      </c>
      <c r="H128" s="11">
        <f t="shared" si="2"/>
        <v>0</v>
      </c>
      <c r="I128" s="11">
        <f t="shared" si="3"/>
        <v>0</v>
      </c>
    </row>
    <row r="129" spans="1:9" hidden="1">
      <c r="A129" s="1"/>
      <c r="B129" s="1"/>
      <c r="C129" s="5" t="s">
        <v>266</v>
      </c>
      <c r="D129" s="5" t="s">
        <v>267</v>
      </c>
      <c r="E129" s="2">
        <v>70687.27</v>
      </c>
      <c r="F129" s="2">
        <v>70687.27</v>
      </c>
      <c r="G129" s="2">
        <v>70687.27</v>
      </c>
      <c r="H129" s="11">
        <f t="shared" si="2"/>
        <v>0</v>
      </c>
      <c r="I129" s="11">
        <f t="shared" si="3"/>
        <v>0</v>
      </c>
    </row>
    <row r="130" spans="1:9" hidden="1">
      <c r="A130" s="1"/>
      <c r="B130" s="1"/>
      <c r="C130" s="5" t="s">
        <v>268</v>
      </c>
      <c r="D130" s="5" t="s">
        <v>269</v>
      </c>
      <c r="E130" s="2">
        <v>1921014.3</v>
      </c>
      <c r="F130" s="2">
        <v>1921014.3</v>
      </c>
      <c r="G130" s="2">
        <v>1921014.3</v>
      </c>
      <c r="H130" s="11">
        <f t="shared" si="2"/>
        <v>0</v>
      </c>
      <c r="I130" s="11">
        <f t="shared" si="3"/>
        <v>0</v>
      </c>
    </row>
    <row r="131" spans="1:9" hidden="1">
      <c r="A131" s="1"/>
      <c r="B131" s="1"/>
      <c r="C131" s="5" t="s">
        <v>270</v>
      </c>
      <c r="D131" s="5" t="s">
        <v>271</v>
      </c>
      <c r="E131" s="2">
        <v>0</v>
      </c>
      <c r="F131" s="2">
        <v>0</v>
      </c>
      <c r="G131" s="2">
        <v>0</v>
      </c>
      <c r="H131" s="11">
        <f t="shared" si="2"/>
        <v>0</v>
      </c>
      <c r="I131" s="11">
        <f t="shared" si="3"/>
        <v>0</v>
      </c>
    </row>
    <row r="132" spans="1:9" hidden="1">
      <c r="A132" s="1"/>
      <c r="B132" s="1"/>
      <c r="C132" s="5" t="s">
        <v>272</v>
      </c>
      <c r="D132" s="5" t="s">
        <v>273</v>
      </c>
      <c r="E132" s="2">
        <v>698704.01</v>
      </c>
      <c r="F132" s="2">
        <v>698704.01</v>
      </c>
      <c r="G132" s="2">
        <v>698704.01</v>
      </c>
      <c r="H132" s="11">
        <f t="shared" si="2"/>
        <v>0</v>
      </c>
      <c r="I132" s="11">
        <f t="shared" si="3"/>
        <v>0</v>
      </c>
    </row>
    <row r="133" spans="1:9" hidden="1">
      <c r="A133" s="1"/>
      <c r="B133" s="1"/>
      <c r="C133" s="5" t="s">
        <v>274</v>
      </c>
      <c r="D133" s="5" t="s">
        <v>275</v>
      </c>
      <c r="E133" s="2">
        <v>3207264.85</v>
      </c>
      <c r="F133" s="2">
        <v>3207264.85</v>
      </c>
      <c r="G133" s="2">
        <v>3207264.85</v>
      </c>
      <c r="H133" s="11">
        <f t="shared" si="2"/>
        <v>0</v>
      </c>
      <c r="I133" s="11">
        <f t="shared" si="3"/>
        <v>0</v>
      </c>
    </row>
    <row r="134" spans="1:9" hidden="1">
      <c r="A134" s="1"/>
      <c r="B134" s="1"/>
      <c r="C134" s="5" t="s">
        <v>276</v>
      </c>
      <c r="D134" s="5" t="s">
        <v>277</v>
      </c>
      <c r="E134" s="2">
        <v>-47285252.189999998</v>
      </c>
      <c r="F134" s="2">
        <v>-47285252.189999998</v>
      </c>
      <c r="G134" s="2">
        <v>-47285252.189999998</v>
      </c>
      <c r="H134" s="11">
        <f t="shared" ref="H134:H197" si="4">F134-E134</f>
        <v>0</v>
      </c>
      <c r="I134" s="11">
        <f t="shared" ref="I134:I197" si="5">G134-F134</f>
        <v>0</v>
      </c>
    </row>
    <row r="135" spans="1:9" hidden="1">
      <c r="A135" s="1"/>
      <c r="B135" s="1"/>
      <c r="C135" s="5" t="s">
        <v>278</v>
      </c>
      <c r="D135" s="5" t="s">
        <v>279</v>
      </c>
      <c r="E135" s="2">
        <v>129935.59</v>
      </c>
      <c r="F135" s="2">
        <v>129935.59</v>
      </c>
      <c r="G135" s="2">
        <v>129935.59</v>
      </c>
      <c r="H135" s="11">
        <f t="shared" si="4"/>
        <v>0</v>
      </c>
      <c r="I135" s="11">
        <f t="shared" si="5"/>
        <v>0</v>
      </c>
    </row>
    <row r="136" spans="1:9" hidden="1">
      <c r="A136" s="1"/>
      <c r="B136" s="1"/>
      <c r="C136" s="5" t="s">
        <v>280</v>
      </c>
      <c r="D136" s="5" t="s">
        <v>281</v>
      </c>
      <c r="E136" s="2">
        <v>84057128.939999998</v>
      </c>
      <c r="F136" s="2">
        <v>84057128.939999998</v>
      </c>
      <c r="G136" s="2">
        <v>84057128.939999998</v>
      </c>
      <c r="H136" s="11">
        <f t="shared" si="4"/>
        <v>0</v>
      </c>
      <c r="I136" s="11">
        <f t="shared" si="5"/>
        <v>0</v>
      </c>
    </row>
    <row r="137" spans="1:9" hidden="1">
      <c r="A137" s="1"/>
      <c r="B137" s="1"/>
      <c r="C137" s="5" t="s">
        <v>282</v>
      </c>
      <c r="D137" s="5" t="s">
        <v>283</v>
      </c>
      <c r="E137" s="2">
        <v>6869421.71</v>
      </c>
      <c r="F137" s="2">
        <v>6869421.71</v>
      </c>
      <c r="G137" s="2">
        <v>6869421.71</v>
      </c>
      <c r="H137" s="11">
        <f t="shared" si="4"/>
        <v>0</v>
      </c>
      <c r="I137" s="11">
        <f t="shared" si="5"/>
        <v>0</v>
      </c>
    </row>
    <row r="138" spans="1:9" hidden="1">
      <c r="A138" s="1"/>
      <c r="B138" s="1"/>
      <c r="C138" s="5" t="s">
        <v>284</v>
      </c>
      <c r="D138" s="5" t="s">
        <v>285</v>
      </c>
      <c r="E138" s="2">
        <v>6863881.0099999998</v>
      </c>
      <c r="F138" s="2">
        <v>6863881.0099999998</v>
      </c>
      <c r="G138" s="2">
        <v>6863881.0099999998</v>
      </c>
      <c r="H138" s="11">
        <f t="shared" si="4"/>
        <v>0</v>
      </c>
      <c r="I138" s="11">
        <f t="shared" si="5"/>
        <v>0</v>
      </c>
    </row>
    <row r="139" spans="1:9" hidden="1">
      <c r="A139" s="1"/>
      <c r="B139" s="1"/>
      <c r="C139" s="5" t="s">
        <v>286</v>
      </c>
      <c r="D139" s="5" t="s">
        <v>287</v>
      </c>
      <c r="E139" s="2">
        <v>1598984.41</v>
      </c>
      <c r="F139" s="2">
        <v>1598984.41</v>
      </c>
      <c r="G139" s="2">
        <v>1598984.41</v>
      </c>
      <c r="H139" s="11">
        <f t="shared" si="4"/>
        <v>0</v>
      </c>
      <c r="I139" s="11">
        <f t="shared" si="5"/>
        <v>0</v>
      </c>
    </row>
    <row r="140" spans="1:9" hidden="1">
      <c r="A140" s="1"/>
      <c r="B140" s="1"/>
      <c r="C140" s="5" t="s">
        <v>288</v>
      </c>
      <c r="D140" s="5" t="s">
        <v>289</v>
      </c>
      <c r="E140" s="2">
        <v>1368320.76</v>
      </c>
      <c r="F140" s="2">
        <v>1368320.76</v>
      </c>
      <c r="G140" s="2">
        <v>1368320.76</v>
      </c>
      <c r="H140" s="11">
        <f t="shared" si="4"/>
        <v>0</v>
      </c>
      <c r="I140" s="11">
        <f t="shared" si="5"/>
        <v>0</v>
      </c>
    </row>
    <row r="141" spans="1:9" hidden="1">
      <c r="A141" s="1"/>
      <c r="B141" s="1"/>
      <c r="C141" s="5" t="s">
        <v>290</v>
      </c>
      <c r="D141" s="5" t="s">
        <v>291</v>
      </c>
      <c r="E141" s="2">
        <v>14347417.390000001</v>
      </c>
      <c r="F141" s="2">
        <v>14347417.390000001</v>
      </c>
      <c r="G141" s="2">
        <v>14347417.390000001</v>
      </c>
      <c r="H141" s="11">
        <f t="shared" si="4"/>
        <v>0</v>
      </c>
      <c r="I141" s="11">
        <f t="shared" si="5"/>
        <v>0</v>
      </c>
    </row>
    <row r="142" spans="1:9" hidden="1">
      <c r="A142" s="1"/>
      <c r="B142" s="1"/>
      <c r="C142" s="5" t="s">
        <v>292</v>
      </c>
      <c r="D142" s="5" t="s">
        <v>293</v>
      </c>
      <c r="E142" s="2">
        <v>930360.64</v>
      </c>
      <c r="F142" s="2">
        <v>930360.64</v>
      </c>
      <c r="G142" s="2">
        <v>930360.64</v>
      </c>
      <c r="H142" s="11">
        <f t="shared" si="4"/>
        <v>0</v>
      </c>
      <c r="I142" s="11">
        <f t="shared" si="5"/>
        <v>0</v>
      </c>
    </row>
    <row r="143" spans="1:9">
      <c r="A143" s="1"/>
      <c r="B143" s="1"/>
      <c r="C143" s="5" t="s">
        <v>294</v>
      </c>
      <c r="D143" s="5" t="s">
        <v>295</v>
      </c>
      <c r="E143" s="2">
        <v>10394669.02</v>
      </c>
      <c r="F143" s="2">
        <v>3419529.36</v>
      </c>
      <c r="G143" s="2">
        <v>3419529.36</v>
      </c>
      <c r="H143" s="11">
        <f t="shared" si="4"/>
        <v>-6975139.6600000001</v>
      </c>
      <c r="I143" s="11">
        <f t="shared" si="5"/>
        <v>0</v>
      </c>
    </row>
    <row r="144" spans="1:9">
      <c r="A144" s="1"/>
      <c r="B144" s="1"/>
      <c r="C144" s="5" t="s">
        <v>296</v>
      </c>
      <c r="D144" s="5" t="s">
        <v>297</v>
      </c>
      <c r="E144" s="2">
        <v>507963.72</v>
      </c>
      <c r="F144" s="2">
        <v>1562423.7</v>
      </c>
      <c r="G144" s="2">
        <v>1562423.7</v>
      </c>
      <c r="H144" s="11">
        <f t="shared" si="4"/>
        <v>1054459.98</v>
      </c>
      <c r="I144" s="11">
        <f t="shared" si="5"/>
        <v>0</v>
      </c>
    </row>
    <row r="145" spans="1:9">
      <c r="A145" s="1"/>
      <c r="B145" s="1"/>
      <c r="C145" s="5" t="s">
        <v>298</v>
      </c>
      <c r="D145" s="5" t="s">
        <v>299</v>
      </c>
      <c r="E145" s="2">
        <v>196410.5</v>
      </c>
      <c r="F145" s="2">
        <v>174553.68</v>
      </c>
      <c r="G145" s="2">
        <v>174553.68</v>
      </c>
      <c r="H145" s="11">
        <f t="shared" si="4"/>
        <v>-21856.820000000007</v>
      </c>
      <c r="I145" s="11">
        <f t="shared" si="5"/>
        <v>0</v>
      </c>
    </row>
    <row r="146" spans="1:9" hidden="1">
      <c r="A146" s="1"/>
      <c r="B146" s="1"/>
      <c r="C146" s="5" t="s">
        <v>300</v>
      </c>
      <c r="D146" s="5" t="s">
        <v>301</v>
      </c>
      <c r="E146" s="2">
        <v>769899.16</v>
      </c>
      <c r="F146" s="2">
        <v>769899.16</v>
      </c>
      <c r="G146" s="2">
        <v>769899.16</v>
      </c>
      <c r="H146" s="11">
        <f t="shared" si="4"/>
        <v>0</v>
      </c>
      <c r="I146" s="11">
        <f t="shared" si="5"/>
        <v>0</v>
      </c>
    </row>
    <row r="147" spans="1:9" hidden="1">
      <c r="A147" s="1"/>
      <c r="B147" s="1"/>
      <c r="C147" s="5" t="s">
        <v>302</v>
      </c>
      <c r="D147" s="5" t="s">
        <v>303</v>
      </c>
      <c r="E147" s="2">
        <v>155392.4</v>
      </c>
      <c r="F147" s="2">
        <v>155392.4</v>
      </c>
      <c r="G147" s="2">
        <v>155392.4</v>
      </c>
      <c r="H147" s="11">
        <f t="shared" si="4"/>
        <v>0</v>
      </c>
      <c r="I147" s="11">
        <f t="shared" si="5"/>
        <v>0</v>
      </c>
    </row>
    <row r="148" spans="1:9" hidden="1">
      <c r="A148" s="1"/>
      <c r="B148" s="1"/>
      <c r="C148" s="5" t="s">
        <v>304</v>
      </c>
      <c r="D148" s="5" t="s">
        <v>305</v>
      </c>
      <c r="E148" s="2">
        <v>264629.37</v>
      </c>
      <c r="F148" s="2">
        <v>264629.37</v>
      </c>
      <c r="G148" s="2">
        <v>264629.37</v>
      </c>
      <c r="H148" s="11">
        <f t="shared" si="4"/>
        <v>0</v>
      </c>
      <c r="I148" s="11">
        <f t="shared" si="5"/>
        <v>0</v>
      </c>
    </row>
    <row r="149" spans="1:9" hidden="1">
      <c r="A149" s="1"/>
      <c r="B149" s="1"/>
      <c r="C149" s="5" t="s">
        <v>306</v>
      </c>
      <c r="D149" s="5" t="s">
        <v>307</v>
      </c>
      <c r="E149" s="2">
        <v>964026.53</v>
      </c>
      <c r="F149" s="2">
        <v>964026.53</v>
      </c>
      <c r="G149" s="2">
        <v>964026.53</v>
      </c>
      <c r="H149" s="11">
        <f t="shared" si="4"/>
        <v>0</v>
      </c>
      <c r="I149" s="11">
        <f t="shared" si="5"/>
        <v>0</v>
      </c>
    </row>
    <row r="150" spans="1:9" hidden="1">
      <c r="A150" s="1"/>
      <c r="B150" s="1"/>
      <c r="C150" s="5" t="s">
        <v>308</v>
      </c>
      <c r="D150" s="5" t="s">
        <v>309</v>
      </c>
      <c r="E150" s="2">
        <v>14488.45</v>
      </c>
      <c r="F150" s="2">
        <v>14488.45</v>
      </c>
      <c r="G150" s="2">
        <v>14488.45</v>
      </c>
      <c r="H150" s="11">
        <f t="shared" si="4"/>
        <v>0</v>
      </c>
      <c r="I150" s="11">
        <f t="shared" si="5"/>
        <v>0</v>
      </c>
    </row>
    <row r="151" spans="1:9" hidden="1">
      <c r="A151" s="1"/>
      <c r="B151" s="1"/>
      <c r="C151" s="5" t="s">
        <v>310</v>
      </c>
      <c r="D151" s="5" t="s">
        <v>311</v>
      </c>
      <c r="E151" s="2">
        <v>514396.15999999997</v>
      </c>
      <c r="F151" s="2">
        <v>514396.15999999997</v>
      </c>
      <c r="G151" s="2">
        <v>514396.15999999997</v>
      </c>
      <c r="H151" s="11">
        <f t="shared" si="4"/>
        <v>0</v>
      </c>
      <c r="I151" s="11">
        <f t="shared" si="5"/>
        <v>0</v>
      </c>
    </row>
    <row r="152" spans="1:9" hidden="1">
      <c r="A152" s="1"/>
      <c r="B152" s="1"/>
      <c r="C152" s="5" t="s">
        <v>312</v>
      </c>
      <c r="D152" s="5" t="s">
        <v>313</v>
      </c>
      <c r="E152" s="2">
        <v>197565.81</v>
      </c>
      <c r="F152" s="2">
        <v>197565.81</v>
      </c>
      <c r="G152" s="2">
        <v>197565.81</v>
      </c>
      <c r="H152" s="11">
        <f t="shared" si="4"/>
        <v>0</v>
      </c>
      <c r="I152" s="11">
        <f t="shared" si="5"/>
        <v>0</v>
      </c>
    </row>
    <row r="153" spans="1:9" hidden="1">
      <c r="A153" s="1"/>
      <c r="B153" s="1"/>
      <c r="C153" s="5" t="s">
        <v>314</v>
      </c>
      <c r="D153" s="5" t="s">
        <v>315</v>
      </c>
      <c r="E153" s="2">
        <v>87431.52</v>
      </c>
      <c r="F153" s="2">
        <v>87431.52</v>
      </c>
      <c r="G153" s="2">
        <v>87431.52</v>
      </c>
      <c r="H153" s="11">
        <f t="shared" si="4"/>
        <v>0</v>
      </c>
      <c r="I153" s="11">
        <f t="shared" si="5"/>
        <v>0</v>
      </c>
    </row>
    <row r="154" spans="1:9" hidden="1">
      <c r="A154" s="1"/>
      <c r="B154" s="1"/>
      <c r="C154" s="5" t="s">
        <v>316</v>
      </c>
      <c r="D154" s="5" t="s">
        <v>317</v>
      </c>
      <c r="E154" s="2">
        <v>623014.06999999995</v>
      </c>
      <c r="F154" s="2">
        <v>623014.06999999995</v>
      </c>
      <c r="G154" s="2">
        <v>623014.06999999995</v>
      </c>
      <c r="H154" s="11">
        <f t="shared" si="4"/>
        <v>0</v>
      </c>
      <c r="I154" s="11">
        <f t="shared" si="5"/>
        <v>0</v>
      </c>
    </row>
    <row r="155" spans="1:9" hidden="1">
      <c r="A155" s="1"/>
      <c r="B155" s="1"/>
      <c r="C155" s="5" t="s">
        <v>318</v>
      </c>
      <c r="D155" s="5" t="s">
        <v>319</v>
      </c>
      <c r="E155" s="2">
        <v>26117.18</v>
      </c>
      <c r="F155" s="2">
        <v>26117.18</v>
      </c>
      <c r="G155" s="2">
        <v>26117.18</v>
      </c>
      <c r="H155" s="11">
        <f t="shared" si="4"/>
        <v>0</v>
      </c>
      <c r="I155" s="11">
        <f t="shared" si="5"/>
        <v>0</v>
      </c>
    </row>
    <row r="156" spans="1:9" hidden="1">
      <c r="A156" s="1"/>
      <c r="B156" s="1"/>
      <c r="C156" s="5" t="s">
        <v>320</v>
      </c>
      <c r="D156" s="5" t="s">
        <v>321</v>
      </c>
      <c r="E156" s="2">
        <v>499323.49</v>
      </c>
      <c r="F156" s="2">
        <v>499323.49</v>
      </c>
      <c r="G156" s="2">
        <v>499323.49</v>
      </c>
      <c r="H156" s="11">
        <f t="shared" si="4"/>
        <v>0</v>
      </c>
      <c r="I156" s="11">
        <f t="shared" si="5"/>
        <v>0</v>
      </c>
    </row>
    <row r="157" spans="1:9" hidden="1">
      <c r="A157" s="1"/>
      <c r="B157" s="1"/>
      <c r="C157" s="5" t="s">
        <v>322</v>
      </c>
      <c r="D157" s="5" t="s">
        <v>323</v>
      </c>
      <c r="E157" s="2">
        <v>178798</v>
      </c>
      <c r="F157" s="2">
        <v>178798</v>
      </c>
      <c r="G157" s="2">
        <v>178798</v>
      </c>
      <c r="H157" s="11">
        <f t="shared" si="4"/>
        <v>0</v>
      </c>
      <c r="I157" s="11">
        <f t="shared" si="5"/>
        <v>0</v>
      </c>
    </row>
    <row r="158" spans="1:9" hidden="1">
      <c r="A158" s="1"/>
      <c r="B158" s="1"/>
      <c r="C158" s="5" t="s">
        <v>324</v>
      </c>
      <c r="D158" s="5" t="s">
        <v>325</v>
      </c>
      <c r="E158" s="2">
        <v>11803.82</v>
      </c>
      <c r="F158" s="2">
        <v>11803.82</v>
      </c>
      <c r="G158" s="2">
        <v>11803.82</v>
      </c>
      <c r="H158" s="11">
        <f t="shared" si="4"/>
        <v>0</v>
      </c>
      <c r="I158" s="11">
        <f t="shared" si="5"/>
        <v>0</v>
      </c>
    </row>
    <row r="159" spans="1:9" hidden="1">
      <c r="A159" s="1"/>
      <c r="B159" s="1"/>
      <c r="C159" s="5" t="s">
        <v>326</v>
      </c>
      <c r="D159" s="5" t="s">
        <v>327</v>
      </c>
      <c r="E159" s="2">
        <v>200086.89</v>
      </c>
      <c r="F159" s="2">
        <v>200086.89</v>
      </c>
      <c r="G159" s="2">
        <v>200086.89</v>
      </c>
      <c r="H159" s="11">
        <f t="shared" si="4"/>
        <v>0</v>
      </c>
      <c r="I159" s="11">
        <f t="shared" si="5"/>
        <v>0</v>
      </c>
    </row>
    <row r="160" spans="1:9" hidden="1">
      <c r="A160" s="1"/>
      <c r="B160" s="1"/>
      <c r="C160" s="5" t="s">
        <v>328</v>
      </c>
      <c r="D160" s="5" t="s">
        <v>329</v>
      </c>
      <c r="E160" s="2">
        <v>1863.26</v>
      </c>
      <c r="F160" s="2">
        <v>1863.26</v>
      </c>
      <c r="G160" s="2">
        <v>1863.26</v>
      </c>
      <c r="H160" s="11">
        <f t="shared" si="4"/>
        <v>0</v>
      </c>
      <c r="I160" s="11">
        <f t="shared" si="5"/>
        <v>0</v>
      </c>
    </row>
    <row r="161" spans="1:9" hidden="1">
      <c r="A161" s="1"/>
      <c r="B161" s="1"/>
      <c r="C161" s="5" t="s">
        <v>330</v>
      </c>
      <c r="D161" s="5" t="s">
        <v>331</v>
      </c>
      <c r="E161" s="2">
        <v>66181.33</v>
      </c>
      <c r="F161" s="2">
        <v>66181.33</v>
      </c>
      <c r="G161" s="2">
        <v>66181.33</v>
      </c>
      <c r="H161" s="11">
        <f t="shared" si="4"/>
        <v>0</v>
      </c>
      <c r="I161" s="11">
        <f t="shared" si="5"/>
        <v>0</v>
      </c>
    </row>
    <row r="162" spans="1:9" hidden="1">
      <c r="A162" s="1"/>
      <c r="B162" s="1"/>
      <c r="C162" s="5" t="s">
        <v>332</v>
      </c>
      <c r="D162" s="5" t="s">
        <v>333</v>
      </c>
      <c r="E162" s="2">
        <v>27800.05</v>
      </c>
      <c r="F162" s="2">
        <v>27800.05</v>
      </c>
      <c r="G162" s="2">
        <v>27800.05</v>
      </c>
      <c r="H162" s="11">
        <f t="shared" si="4"/>
        <v>0</v>
      </c>
      <c r="I162" s="11">
        <f t="shared" si="5"/>
        <v>0</v>
      </c>
    </row>
    <row r="163" spans="1:9" hidden="1">
      <c r="A163" s="1"/>
      <c r="B163" s="1"/>
      <c r="C163" s="5" t="s">
        <v>334</v>
      </c>
      <c r="D163" s="5" t="s">
        <v>335</v>
      </c>
      <c r="E163" s="2">
        <v>6424.31</v>
      </c>
      <c r="F163" s="2">
        <v>6424.31</v>
      </c>
      <c r="G163" s="2">
        <v>4861.1899999999996</v>
      </c>
      <c r="H163" s="11">
        <f t="shared" si="4"/>
        <v>0</v>
      </c>
      <c r="I163" s="11">
        <f t="shared" si="5"/>
        <v>-1563.1200000000008</v>
      </c>
    </row>
    <row r="164" spans="1:9" hidden="1">
      <c r="A164" s="1"/>
      <c r="B164" s="1"/>
      <c r="C164" s="5" t="s">
        <v>336</v>
      </c>
      <c r="D164" s="5" t="s">
        <v>337</v>
      </c>
      <c r="E164" s="2">
        <v>633491.55000000005</v>
      </c>
      <c r="F164" s="2">
        <v>633491.55000000005</v>
      </c>
      <c r="G164" s="2">
        <v>633491.55000000005</v>
      </c>
      <c r="H164" s="11">
        <f t="shared" si="4"/>
        <v>0</v>
      </c>
      <c r="I164" s="11">
        <f t="shared" si="5"/>
        <v>0</v>
      </c>
    </row>
    <row r="165" spans="1:9" hidden="1">
      <c r="A165" s="1"/>
      <c r="B165" s="1"/>
      <c r="C165" s="5" t="s">
        <v>338</v>
      </c>
      <c r="D165" s="5" t="s">
        <v>339</v>
      </c>
      <c r="E165" s="2">
        <v>8288.68</v>
      </c>
      <c r="F165" s="2">
        <v>8288.68</v>
      </c>
      <c r="G165" s="2">
        <v>0</v>
      </c>
      <c r="H165" s="11">
        <f t="shared" si="4"/>
        <v>0</v>
      </c>
      <c r="I165" s="11">
        <f t="shared" si="5"/>
        <v>-8288.68</v>
      </c>
    </row>
    <row r="166" spans="1:9" hidden="1">
      <c r="A166" s="1"/>
      <c r="B166" s="1"/>
      <c r="C166" s="5" t="s">
        <v>340</v>
      </c>
      <c r="D166" s="5" t="s">
        <v>341</v>
      </c>
      <c r="E166" s="2">
        <v>30600</v>
      </c>
      <c r="F166" s="2">
        <v>30600</v>
      </c>
      <c r="G166" s="2">
        <v>30600</v>
      </c>
      <c r="H166" s="11">
        <f t="shared" si="4"/>
        <v>0</v>
      </c>
      <c r="I166" s="11">
        <f t="shared" si="5"/>
        <v>0</v>
      </c>
    </row>
    <row r="167" spans="1:9" hidden="1">
      <c r="A167" s="1"/>
      <c r="B167" s="1"/>
      <c r="C167" s="5" t="s">
        <v>342</v>
      </c>
      <c r="D167" s="5" t="s">
        <v>343</v>
      </c>
      <c r="E167" s="2">
        <v>2789.72</v>
      </c>
      <c r="F167" s="2">
        <v>2789.72</v>
      </c>
      <c r="G167" s="2">
        <v>2789.72</v>
      </c>
      <c r="H167" s="11">
        <f t="shared" si="4"/>
        <v>0</v>
      </c>
      <c r="I167" s="11">
        <f t="shared" si="5"/>
        <v>0</v>
      </c>
    </row>
    <row r="168" spans="1:9" hidden="1">
      <c r="A168" s="1"/>
      <c r="B168" s="1"/>
      <c r="C168" s="5" t="s">
        <v>344</v>
      </c>
      <c r="D168" s="5" t="s">
        <v>345</v>
      </c>
      <c r="E168" s="2">
        <v>132167.5</v>
      </c>
      <c r="F168" s="2">
        <v>132167.5</v>
      </c>
      <c r="G168" s="2">
        <v>132167.5</v>
      </c>
      <c r="H168" s="11">
        <f t="shared" si="4"/>
        <v>0</v>
      </c>
      <c r="I168" s="11">
        <f t="shared" si="5"/>
        <v>0</v>
      </c>
    </row>
    <row r="169" spans="1:9" hidden="1">
      <c r="A169" s="1"/>
      <c r="B169" s="1"/>
      <c r="C169" s="5" t="s">
        <v>346</v>
      </c>
      <c r="D169" s="5" t="s">
        <v>347</v>
      </c>
      <c r="E169" s="2">
        <v>69585.899999999994</v>
      </c>
      <c r="F169" s="2">
        <v>69585.899999999994</v>
      </c>
      <c r="G169" s="2">
        <v>69585.899999999994</v>
      </c>
      <c r="H169" s="11">
        <f t="shared" si="4"/>
        <v>0</v>
      </c>
      <c r="I169" s="11">
        <f t="shared" si="5"/>
        <v>0</v>
      </c>
    </row>
    <row r="170" spans="1:9" hidden="1">
      <c r="A170" s="1"/>
      <c r="B170" s="1"/>
      <c r="C170" s="5" t="s">
        <v>348</v>
      </c>
      <c r="D170" s="5" t="s">
        <v>349</v>
      </c>
      <c r="E170" s="2">
        <v>0</v>
      </c>
      <c r="F170" s="2">
        <v>0</v>
      </c>
      <c r="G170" s="2">
        <v>0</v>
      </c>
      <c r="H170" s="11">
        <f t="shared" si="4"/>
        <v>0</v>
      </c>
      <c r="I170" s="11">
        <f t="shared" si="5"/>
        <v>0</v>
      </c>
    </row>
    <row r="171" spans="1:9" hidden="1">
      <c r="A171" s="1"/>
      <c r="B171" s="1"/>
      <c r="C171" s="5" t="s">
        <v>350</v>
      </c>
      <c r="D171" s="5" t="s">
        <v>351</v>
      </c>
      <c r="E171" s="2">
        <v>1578.5</v>
      </c>
      <c r="F171" s="2">
        <v>1578.5</v>
      </c>
      <c r="G171" s="2">
        <v>1578.5</v>
      </c>
      <c r="H171" s="11">
        <f t="shared" si="4"/>
        <v>0</v>
      </c>
      <c r="I171" s="11">
        <f t="shared" si="5"/>
        <v>0</v>
      </c>
    </row>
    <row r="172" spans="1:9" hidden="1">
      <c r="A172" s="1"/>
      <c r="B172" s="1"/>
      <c r="C172" s="5" t="s">
        <v>352</v>
      </c>
      <c r="D172" s="5" t="s">
        <v>353</v>
      </c>
      <c r="E172" s="2">
        <v>837771.48</v>
      </c>
      <c r="F172" s="2">
        <v>837771.48</v>
      </c>
      <c r="G172" s="2">
        <v>837771.48</v>
      </c>
      <c r="H172" s="11">
        <f t="shared" si="4"/>
        <v>0</v>
      </c>
      <c r="I172" s="11">
        <f t="shared" si="5"/>
        <v>0</v>
      </c>
    </row>
    <row r="173" spans="1:9" hidden="1">
      <c r="A173" s="1"/>
      <c r="B173" s="1"/>
      <c r="C173" s="5" t="s">
        <v>354</v>
      </c>
      <c r="D173" s="5" t="s">
        <v>355</v>
      </c>
      <c r="E173" s="2">
        <v>26218.5</v>
      </c>
      <c r="F173" s="2">
        <v>26218.5</v>
      </c>
      <c r="G173" s="2">
        <v>26218.5</v>
      </c>
      <c r="H173" s="11">
        <f t="shared" si="4"/>
        <v>0</v>
      </c>
      <c r="I173" s="11">
        <f t="shared" si="5"/>
        <v>0</v>
      </c>
    </row>
    <row r="174" spans="1:9" hidden="1">
      <c r="A174" s="1"/>
      <c r="B174" s="1"/>
      <c r="C174" s="5" t="s">
        <v>356</v>
      </c>
      <c r="D174" s="5" t="s">
        <v>357</v>
      </c>
      <c r="E174" s="2">
        <v>1663355.73</v>
      </c>
      <c r="F174" s="2">
        <v>1663355.73</v>
      </c>
      <c r="G174" s="2">
        <v>1663355.73</v>
      </c>
      <c r="H174" s="11">
        <f t="shared" si="4"/>
        <v>0</v>
      </c>
      <c r="I174" s="11">
        <f t="shared" si="5"/>
        <v>0</v>
      </c>
    </row>
    <row r="175" spans="1:9" hidden="1">
      <c r="A175" s="1"/>
      <c r="B175" s="1"/>
      <c r="C175" s="5" t="s">
        <v>358</v>
      </c>
      <c r="D175" s="5" t="s">
        <v>359</v>
      </c>
      <c r="E175" s="2">
        <v>15536.91</v>
      </c>
      <c r="F175" s="2">
        <v>15536.91</v>
      </c>
      <c r="G175" s="2">
        <v>15536.91</v>
      </c>
      <c r="H175" s="11">
        <f t="shared" si="4"/>
        <v>0</v>
      </c>
      <c r="I175" s="11">
        <f t="shared" si="5"/>
        <v>0</v>
      </c>
    </row>
    <row r="176" spans="1:9" hidden="1">
      <c r="A176" s="1"/>
      <c r="B176" s="1"/>
      <c r="C176" s="5" t="s">
        <v>360</v>
      </c>
      <c r="D176" s="5" t="s">
        <v>361</v>
      </c>
      <c r="E176" s="2">
        <v>5851.25</v>
      </c>
      <c r="F176" s="2">
        <v>5851.25</v>
      </c>
      <c r="G176" s="2">
        <v>5851.25</v>
      </c>
      <c r="H176" s="11">
        <f t="shared" si="4"/>
        <v>0</v>
      </c>
      <c r="I176" s="11">
        <f t="shared" si="5"/>
        <v>0</v>
      </c>
    </row>
    <row r="177" spans="1:9" hidden="1">
      <c r="A177" s="1"/>
      <c r="B177" s="1"/>
      <c r="C177" s="5" t="s">
        <v>362</v>
      </c>
      <c r="D177" s="5" t="s">
        <v>363</v>
      </c>
      <c r="E177" s="2">
        <v>38621.269999999997</v>
      </c>
      <c r="F177" s="2">
        <v>38621.269999999997</v>
      </c>
      <c r="G177" s="2">
        <v>38621.269999999997</v>
      </c>
      <c r="H177" s="11">
        <f t="shared" si="4"/>
        <v>0</v>
      </c>
      <c r="I177" s="11">
        <f t="shared" si="5"/>
        <v>0</v>
      </c>
    </row>
    <row r="178" spans="1:9" hidden="1">
      <c r="A178" s="1"/>
      <c r="B178" s="1"/>
      <c r="C178" s="5" t="s">
        <v>364</v>
      </c>
      <c r="D178" s="5" t="s">
        <v>365</v>
      </c>
      <c r="E178" s="2">
        <v>181188.7</v>
      </c>
      <c r="F178" s="2">
        <v>181188.7</v>
      </c>
      <c r="G178" s="2">
        <v>181188.7</v>
      </c>
      <c r="H178" s="11">
        <f t="shared" si="4"/>
        <v>0</v>
      </c>
      <c r="I178" s="11">
        <f t="shared" si="5"/>
        <v>0</v>
      </c>
    </row>
    <row r="179" spans="1:9" hidden="1">
      <c r="A179" s="1"/>
      <c r="B179" s="1"/>
      <c r="C179" s="5" t="s">
        <v>366</v>
      </c>
      <c r="D179" s="5" t="s">
        <v>367</v>
      </c>
      <c r="E179" s="2">
        <v>48195.1</v>
      </c>
      <c r="F179" s="2">
        <v>48195.1</v>
      </c>
      <c r="G179" s="2">
        <v>48195.1</v>
      </c>
      <c r="H179" s="11">
        <f t="shared" si="4"/>
        <v>0</v>
      </c>
      <c r="I179" s="11">
        <f t="shared" si="5"/>
        <v>0</v>
      </c>
    </row>
    <row r="180" spans="1:9">
      <c r="A180" s="1"/>
      <c r="B180" s="1"/>
      <c r="C180" s="5" t="s">
        <v>368</v>
      </c>
      <c r="D180" s="5" t="s">
        <v>369</v>
      </c>
      <c r="E180" s="2">
        <v>12112575.15</v>
      </c>
      <c r="F180" s="2">
        <v>11958534.01</v>
      </c>
      <c r="G180" s="2">
        <v>11958534.01</v>
      </c>
      <c r="H180" s="11">
        <f t="shared" si="4"/>
        <v>-154041.1400000006</v>
      </c>
      <c r="I180" s="11">
        <f t="shared" si="5"/>
        <v>0</v>
      </c>
    </row>
    <row r="181" spans="1:9">
      <c r="A181" s="1"/>
      <c r="B181" s="1"/>
      <c r="C181" s="5" t="s">
        <v>370</v>
      </c>
      <c r="D181" s="5" t="s">
        <v>371</v>
      </c>
      <c r="E181" s="2">
        <v>6032211.6200000001</v>
      </c>
      <c r="F181" s="2">
        <v>5827207.0899999999</v>
      </c>
      <c r="G181" s="2">
        <v>5827207.0899999999</v>
      </c>
      <c r="H181" s="11">
        <f t="shared" si="4"/>
        <v>-205004.53000000026</v>
      </c>
      <c r="I181" s="11">
        <f t="shared" si="5"/>
        <v>0</v>
      </c>
    </row>
    <row r="182" spans="1:9" hidden="1">
      <c r="A182" s="1"/>
      <c r="B182" s="1"/>
      <c r="C182" s="5" t="s">
        <v>372</v>
      </c>
      <c r="D182" s="5" t="s">
        <v>373</v>
      </c>
      <c r="E182" s="2">
        <v>133569.29</v>
      </c>
      <c r="F182" s="2">
        <v>133569.29</v>
      </c>
      <c r="G182" s="2">
        <v>133569.29</v>
      </c>
      <c r="H182" s="11">
        <f t="shared" si="4"/>
        <v>0</v>
      </c>
      <c r="I182" s="11">
        <f t="shared" si="5"/>
        <v>0</v>
      </c>
    </row>
    <row r="183" spans="1:9" hidden="1">
      <c r="A183" s="1"/>
      <c r="B183" s="1"/>
      <c r="C183" s="5" t="s">
        <v>374</v>
      </c>
      <c r="D183" s="5" t="s">
        <v>375</v>
      </c>
      <c r="E183" s="2">
        <v>32065.15</v>
      </c>
      <c r="F183" s="2">
        <v>32065.15</v>
      </c>
      <c r="G183" s="2">
        <v>32065.15</v>
      </c>
      <c r="H183" s="11">
        <f t="shared" si="4"/>
        <v>0</v>
      </c>
      <c r="I183" s="11">
        <f t="shared" si="5"/>
        <v>0</v>
      </c>
    </row>
    <row r="184" spans="1:9" hidden="1">
      <c r="A184" s="1"/>
      <c r="B184" s="1"/>
      <c r="C184" s="5" t="s">
        <v>376</v>
      </c>
      <c r="D184" s="5" t="s">
        <v>377</v>
      </c>
      <c r="E184" s="2">
        <v>25836.04</v>
      </c>
      <c r="F184" s="2">
        <v>25836.04</v>
      </c>
      <c r="G184" s="2">
        <v>25836.04</v>
      </c>
      <c r="H184" s="11">
        <f t="shared" si="4"/>
        <v>0</v>
      </c>
      <c r="I184" s="11">
        <f t="shared" si="5"/>
        <v>0</v>
      </c>
    </row>
    <row r="185" spans="1:9" hidden="1">
      <c r="A185" s="1"/>
      <c r="B185" s="1"/>
      <c r="C185" s="5" t="s">
        <v>378</v>
      </c>
      <c r="D185" s="5" t="s">
        <v>379</v>
      </c>
      <c r="E185" s="2">
        <v>6513</v>
      </c>
      <c r="F185" s="2">
        <v>6513</v>
      </c>
      <c r="G185" s="2">
        <v>6187.35</v>
      </c>
      <c r="H185" s="11">
        <f t="shared" si="4"/>
        <v>0</v>
      </c>
      <c r="I185" s="11">
        <f t="shared" si="5"/>
        <v>-325.64999999999964</v>
      </c>
    </row>
    <row r="186" spans="1:9" hidden="1">
      <c r="A186" s="1"/>
      <c r="B186" s="1"/>
      <c r="C186" s="5" t="s">
        <v>380</v>
      </c>
      <c r="D186" s="5" t="s">
        <v>381</v>
      </c>
      <c r="E186" s="2">
        <v>48032.480000000003</v>
      </c>
      <c r="F186" s="2">
        <v>48032.480000000003</v>
      </c>
      <c r="G186" s="2">
        <v>48032.480000000003</v>
      </c>
      <c r="H186" s="11">
        <f t="shared" si="4"/>
        <v>0</v>
      </c>
      <c r="I186" s="11">
        <f t="shared" si="5"/>
        <v>0</v>
      </c>
    </row>
    <row r="187" spans="1:9" hidden="1">
      <c r="A187" s="1"/>
      <c r="B187" s="1"/>
      <c r="C187" s="5" t="s">
        <v>382</v>
      </c>
      <c r="D187" s="5" t="s">
        <v>383</v>
      </c>
      <c r="E187" s="2">
        <v>8246.7999999999993</v>
      </c>
      <c r="F187" s="2">
        <v>8246.7999999999993</v>
      </c>
      <c r="G187" s="2">
        <v>8246.7999999999993</v>
      </c>
      <c r="H187" s="11">
        <f t="shared" si="4"/>
        <v>0</v>
      </c>
      <c r="I187" s="11">
        <f t="shared" si="5"/>
        <v>0</v>
      </c>
    </row>
    <row r="188" spans="1:9" hidden="1">
      <c r="A188" s="1"/>
      <c r="B188" s="1"/>
      <c r="C188" s="5" t="s">
        <v>384</v>
      </c>
      <c r="D188" s="5" t="s">
        <v>385</v>
      </c>
      <c r="E188" s="2">
        <v>543449.52</v>
      </c>
      <c r="F188" s="2">
        <v>543449.52</v>
      </c>
      <c r="G188" s="2">
        <v>543449.52</v>
      </c>
      <c r="H188" s="11">
        <f t="shared" si="4"/>
        <v>0</v>
      </c>
      <c r="I188" s="11">
        <f t="shared" si="5"/>
        <v>0</v>
      </c>
    </row>
    <row r="189" spans="1:9" hidden="1">
      <c r="A189" s="1"/>
      <c r="B189" s="1"/>
      <c r="C189" s="5" t="s">
        <v>386</v>
      </c>
      <c r="D189" s="5" t="s">
        <v>387</v>
      </c>
      <c r="E189" s="2">
        <v>34958.75</v>
      </c>
      <c r="F189" s="2">
        <v>34958.75</v>
      </c>
      <c r="G189" s="2">
        <v>34958.75</v>
      </c>
      <c r="H189" s="11">
        <f t="shared" si="4"/>
        <v>0</v>
      </c>
      <c r="I189" s="11">
        <f t="shared" si="5"/>
        <v>0</v>
      </c>
    </row>
    <row r="190" spans="1:9" hidden="1">
      <c r="A190" s="1"/>
      <c r="B190" s="1"/>
      <c r="C190" s="5" t="s">
        <v>388</v>
      </c>
      <c r="D190" s="5" t="s">
        <v>389</v>
      </c>
      <c r="E190" s="2">
        <v>76350.23</v>
      </c>
      <c r="F190" s="2">
        <v>76350.23</v>
      </c>
      <c r="G190" s="2">
        <v>76350.23</v>
      </c>
      <c r="H190" s="11">
        <f t="shared" si="4"/>
        <v>0</v>
      </c>
      <c r="I190" s="11">
        <f t="shared" si="5"/>
        <v>0</v>
      </c>
    </row>
    <row r="191" spans="1:9" hidden="1">
      <c r="A191" s="1"/>
      <c r="B191" s="1"/>
      <c r="C191" s="5" t="s">
        <v>390</v>
      </c>
      <c r="D191" s="5" t="s">
        <v>391</v>
      </c>
      <c r="E191" s="2">
        <v>59148.85</v>
      </c>
      <c r="F191" s="2">
        <v>59148.85</v>
      </c>
      <c r="G191" s="2">
        <v>59148.85</v>
      </c>
      <c r="H191" s="11">
        <f t="shared" si="4"/>
        <v>0</v>
      </c>
      <c r="I191" s="11">
        <f t="shared" si="5"/>
        <v>0</v>
      </c>
    </row>
    <row r="192" spans="1:9" hidden="1">
      <c r="A192" s="1"/>
      <c r="B192" s="1"/>
      <c r="C192" s="5" t="s">
        <v>392</v>
      </c>
      <c r="D192" s="5" t="s">
        <v>393</v>
      </c>
      <c r="E192" s="2">
        <v>221360.67</v>
      </c>
      <c r="F192" s="2">
        <v>221360.67</v>
      </c>
      <c r="G192" s="2">
        <v>221360.67</v>
      </c>
      <c r="H192" s="11">
        <f t="shared" si="4"/>
        <v>0</v>
      </c>
      <c r="I192" s="11">
        <f t="shared" si="5"/>
        <v>0</v>
      </c>
    </row>
    <row r="193" spans="1:9" hidden="1">
      <c r="A193" s="1"/>
      <c r="B193" s="1"/>
      <c r="C193" s="5" t="s">
        <v>394</v>
      </c>
      <c r="D193" s="5" t="s">
        <v>395</v>
      </c>
      <c r="E193" s="2">
        <v>358143.49</v>
      </c>
      <c r="F193" s="2">
        <v>358143.49</v>
      </c>
      <c r="G193" s="2">
        <v>358143.49</v>
      </c>
      <c r="H193" s="11">
        <f t="shared" si="4"/>
        <v>0</v>
      </c>
      <c r="I193" s="11">
        <f t="shared" si="5"/>
        <v>0</v>
      </c>
    </row>
    <row r="194" spans="1:9" hidden="1">
      <c r="A194" s="1"/>
      <c r="B194" s="1"/>
      <c r="C194" s="5" t="s">
        <v>396</v>
      </c>
      <c r="D194" s="5" t="s">
        <v>397</v>
      </c>
      <c r="E194" s="2">
        <v>26751.119999999999</v>
      </c>
      <c r="F194" s="2">
        <v>26751.119999999999</v>
      </c>
      <c r="G194" s="2">
        <v>26751.119999999999</v>
      </c>
      <c r="H194" s="11">
        <f t="shared" si="4"/>
        <v>0</v>
      </c>
      <c r="I194" s="11">
        <f t="shared" si="5"/>
        <v>0</v>
      </c>
    </row>
    <row r="195" spans="1:9" hidden="1">
      <c r="A195" s="1"/>
      <c r="B195" s="1"/>
      <c r="C195" s="5" t="s">
        <v>398</v>
      </c>
      <c r="D195" s="5" t="s">
        <v>399</v>
      </c>
      <c r="E195" s="2">
        <v>824700.95</v>
      </c>
      <c r="F195" s="2">
        <v>824700.95</v>
      </c>
      <c r="G195" s="2">
        <v>824700.95</v>
      </c>
      <c r="H195" s="11">
        <f t="shared" si="4"/>
        <v>0</v>
      </c>
      <c r="I195" s="11">
        <f t="shared" si="5"/>
        <v>0</v>
      </c>
    </row>
    <row r="196" spans="1:9" hidden="1">
      <c r="A196" s="1"/>
      <c r="B196" s="1"/>
      <c r="C196" s="5" t="s">
        <v>400</v>
      </c>
      <c r="D196" s="5" t="s">
        <v>401</v>
      </c>
      <c r="E196" s="2">
        <v>757.19</v>
      </c>
      <c r="F196" s="2">
        <v>757.19</v>
      </c>
      <c r="G196" s="2">
        <v>757.19</v>
      </c>
      <c r="H196" s="11">
        <f t="shared" si="4"/>
        <v>0</v>
      </c>
      <c r="I196" s="11">
        <f t="shared" si="5"/>
        <v>0</v>
      </c>
    </row>
    <row r="197" spans="1:9" hidden="1">
      <c r="A197" s="1"/>
      <c r="B197" s="1"/>
      <c r="C197" s="5" t="s">
        <v>402</v>
      </c>
      <c r="D197" s="5" t="s">
        <v>403</v>
      </c>
      <c r="E197" s="2">
        <v>461528.47</v>
      </c>
      <c r="F197" s="2">
        <v>461528.47</v>
      </c>
      <c r="G197" s="2">
        <v>461528.47</v>
      </c>
      <c r="H197" s="11">
        <f t="shared" si="4"/>
        <v>0</v>
      </c>
      <c r="I197" s="11">
        <f t="shared" si="5"/>
        <v>0</v>
      </c>
    </row>
    <row r="198" spans="1:9" hidden="1">
      <c r="A198" s="1"/>
      <c r="B198" s="1"/>
      <c r="C198" s="5" t="s">
        <v>404</v>
      </c>
      <c r="D198" s="5" t="s">
        <v>405</v>
      </c>
      <c r="E198" s="2">
        <v>705322.05</v>
      </c>
      <c r="F198" s="2">
        <v>705322.05</v>
      </c>
      <c r="G198" s="2">
        <v>705322.05</v>
      </c>
      <c r="H198" s="11">
        <f t="shared" ref="H198:H261" si="6">F198-E198</f>
        <v>0</v>
      </c>
      <c r="I198" s="11">
        <f t="shared" ref="I198:I261" si="7">G198-F198</f>
        <v>0</v>
      </c>
    </row>
    <row r="199" spans="1:9" hidden="1">
      <c r="A199" s="1"/>
      <c r="B199" s="1"/>
      <c r="C199" s="5" t="s">
        <v>406</v>
      </c>
      <c r="D199" s="5" t="s">
        <v>407</v>
      </c>
      <c r="E199" s="2">
        <v>308020.83</v>
      </c>
      <c r="F199" s="2">
        <v>308020.83</v>
      </c>
      <c r="G199" s="2">
        <v>308020.83</v>
      </c>
      <c r="H199" s="11">
        <f t="shared" si="6"/>
        <v>0</v>
      </c>
      <c r="I199" s="11">
        <f t="shared" si="7"/>
        <v>0</v>
      </c>
    </row>
    <row r="200" spans="1:9" hidden="1">
      <c r="A200" s="1"/>
      <c r="B200" s="1"/>
      <c r="C200" s="5" t="s">
        <v>408</v>
      </c>
      <c r="D200" s="5" t="s">
        <v>409</v>
      </c>
      <c r="E200" s="2">
        <v>186178</v>
      </c>
      <c r="F200" s="2">
        <v>186178</v>
      </c>
      <c r="G200" s="2">
        <v>186178</v>
      </c>
      <c r="H200" s="11">
        <f t="shared" si="6"/>
        <v>0</v>
      </c>
      <c r="I200" s="11">
        <f t="shared" si="7"/>
        <v>0</v>
      </c>
    </row>
    <row r="201" spans="1:9" hidden="1">
      <c r="A201" s="1"/>
      <c r="B201" s="1"/>
      <c r="C201" s="5" t="s">
        <v>410</v>
      </c>
      <c r="D201" s="5" t="s">
        <v>411</v>
      </c>
      <c r="E201" s="2">
        <v>-54.34</v>
      </c>
      <c r="F201" s="2">
        <v>-54.34</v>
      </c>
      <c r="G201" s="2">
        <v>-54.34</v>
      </c>
      <c r="H201" s="11">
        <f t="shared" si="6"/>
        <v>0</v>
      </c>
      <c r="I201" s="11">
        <f t="shared" si="7"/>
        <v>0</v>
      </c>
    </row>
    <row r="202" spans="1:9" hidden="1">
      <c r="A202" s="1"/>
      <c r="B202" s="1"/>
      <c r="C202" s="5" t="s">
        <v>412</v>
      </c>
      <c r="D202" s="5" t="s">
        <v>413</v>
      </c>
      <c r="E202" s="2">
        <v>126711.7</v>
      </c>
      <c r="F202" s="2">
        <v>126711.7</v>
      </c>
      <c r="G202" s="2">
        <v>126711.7</v>
      </c>
      <c r="H202" s="11">
        <f t="shared" si="6"/>
        <v>0</v>
      </c>
      <c r="I202" s="11">
        <f t="shared" si="7"/>
        <v>0</v>
      </c>
    </row>
    <row r="203" spans="1:9" hidden="1">
      <c r="A203" s="1"/>
      <c r="B203" s="1"/>
      <c r="C203" s="5" t="s">
        <v>414</v>
      </c>
      <c r="D203" s="5" t="s">
        <v>415</v>
      </c>
      <c r="E203" s="2">
        <v>196891.97</v>
      </c>
      <c r="F203" s="2">
        <v>196891.97</v>
      </c>
      <c r="G203" s="2">
        <v>196891.97</v>
      </c>
      <c r="H203" s="11">
        <f t="shared" si="6"/>
        <v>0</v>
      </c>
      <c r="I203" s="11">
        <f t="shared" si="7"/>
        <v>0</v>
      </c>
    </row>
    <row r="204" spans="1:9" hidden="1">
      <c r="A204" s="1"/>
      <c r="B204" s="1"/>
      <c r="C204" s="5" t="s">
        <v>416</v>
      </c>
      <c r="D204" s="5" t="s">
        <v>417</v>
      </c>
      <c r="E204" s="2">
        <v>255569.26</v>
      </c>
      <c r="F204" s="2">
        <v>255569.26</v>
      </c>
      <c r="G204" s="2">
        <v>255569.26</v>
      </c>
      <c r="H204" s="11">
        <f t="shared" si="6"/>
        <v>0</v>
      </c>
      <c r="I204" s="11">
        <f t="shared" si="7"/>
        <v>0</v>
      </c>
    </row>
    <row r="205" spans="1:9" hidden="1">
      <c r="A205" s="1"/>
      <c r="B205" s="1"/>
      <c r="C205" s="5" t="s">
        <v>418</v>
      </c>
      <c r="D205" s="5" t="s">
        <v>419</v>
      </c>
      <c r="E205" s="2">
        <v>146.62</v>
      </c>
      <c r="F205" s="2">
        <v>146.62</v>
      </c>
      <c r="G205" s="2">
        <v>146.62</v>
      </c>
      <c r="H205" s="11">
        <f t="shared" si="6"/>
        <v>0</v>
      </c>
      <c r="I205" s="11">
        <f t="shared" si="7"/>
        <v>0</v>
      </c>
    </row>
    <row r="206" spans="1:9" hidden="1">
      <c r="A206" s="1"/>
      <c r="B206" s="1"/>
      <c r="C206" s="5" t="s">
        <v>420</v>
      </c>
      <c r="D206" s="5" t="s">
        <v>421</v>
      </c>
      <c r="E206" s="2">
        <v>216500.54</v>
      </c>
      <c r="F206" s="2">
        <v>216500.54</v>
      </c>
      <c r="G206" s="2">
        <v>216500.54</v>
      </c>
      <c r="H206" s="11">
        <f t="shared" si="6"/>
        <v>0</v>
      </c>
      <c r="I206" s="11">
        <f t="shared" si="7"/>
        <v>0</v>
      </c>
    </row>
    <row r="207" spans="1:9" hidden="1">
      <c r="A207" s="1"/>
      <c r="B207" s="1"/>
      <c r="C207" s="5" t="s">
        <v>422</v>
      </c>
      <c r="D207" s="5" t="s">
        <v>423</v>
      </c>
      <c r="E207" s="2">
        <v>25200.77</v>
      </c>
      <c r="F207" s="2">
        <v>25200.77</v>
      </c>
      <c r="G207" s="2">
        <v>25200.77</v>
      </c>
      <c r="H207" s="11">
        <f t="shared" si="6"/>
        <v>0</v>
      </c>
      <c r="I207" s="11">
        <f t="shared" si="7"/>
        <v>0</v>
      </c>
    </row>
    <row r="208" spans="1:9" hidden="1">
      <c r="A208" s="1"/>
      <c r="B208" s="1"/>
      <c r="C208" s="5" t="s">
        <v>424</v>
      </c>
      <c r="D208" s="5" t="s">
        <v>425</v>
      </c>
      <c r="E208" s="2">
        <v>150809.01999999999</v>
      </c>
      <c r="F208" s="2">
        <v>150809.01999999999</v>
      </c>
      <c r="G208" s="2">
        <v>150809.01999999999</v>
      </c>
      <c r="H208" s="11">
        <f t="shared" si="6"/>
        <v>0</v>
      </c>
      <c r="I208" s="11">
        <f t="shared" si="7"/>
        <v>0</v>
      </c>
    </row>
    <row r="209" spans="1:9" hidden="1">
      <c r="A209" s="1"/>
      <c r="B209" s="1"/>
      <c r="C209" s="5" t="s">
        <v>426</v>
      </c>
      <c r="D209" s="5" t="s">
        <v>427</v>
      </c>
      <c r="E209" s="2">
        <v>822377.32</v>
      </c>
      <c r="F209" s="2">
        <v>822377.32</v>
      </c>
      <c r="G209" s="2">
        <v>822377.32</v>
      </c>
      <c r="H209" s="11">
        <f t="shared" si="6"/>
        <v>0</v>
      </c>
      <c r="I209" s="11">
        <f t="shared" si="7"/>
        <v>0</v>
      </c>
    </row>
    <row r="210" spans="1:9" hidden="1">
      <c r="A210" s="1"/>
      <c r="B210" s="1"/>
      <c r="C210" s="5" t="s">
        <v>428</v>
      </c>
      <c r="D210" s="5" t="s">
        <v>429</v>
      </c>
      <c r="E210" s="2">
        <v>111536.54</v>
      </c>
      <c r="F210" s="2">
        <v>111536.54</v>
      </c>
      <c r="G210" s="2">
        <v>105958.38</v>
      </c>
      <c r="H210" s="11">
        <f t="shared" si="6"/>
        <v>0</v>
      </c>
      <c r="I210" s="11">
        <f t="shared" si="7"/>
        <v>-5578.1599999999889</v>
      </c>
    </row>
    <row r="211" spans="1:9" hidden="1">
      <c r="A211" s="1"/>
      <c r="B211" s="1"/>
      <c r="C211" s="5" t="s">
        <v>430</v>
      </c>
      <c r="D211" s="5" t="s">
        <v>431</v>
      </c>
      <c r="E211" s="2">
        <v>974100.1</v>
      </c>
      <c r="F211" s="2">
        <v>974100.1</v>
      </c>
      <c r="G211" s="2">
        <v>925398.13</v>
      </c>
      <c r="H211" s="11">
        <f t="shared" si="6"/>
        <v>0</v>
      </c>
      <c r="I211" s="11">
        <f t="shared" si="7"/>
        <v>-48701.969999999972</v>
      </c>
    </row>
    <row r="212" spans="1:9" hidden="1">
      <c r="A212" s="1"/>
      <c r="B212" s="1"/>
      <c r="C212" s="5" t="s">
        <v>432</v>
      </c>
      <c r="D212" s="5" t="s">
        <v>433</v>
      </c>
      <c r="E212" s="2">
        <v>560698.36</v>
      </c>
      <c r="F212" s="2">
        <v>560698.36</v>
      </c>
      <c r="G212" s="2">
        <v>490613.03</v>
      </c>
      <c r="H212" s="11">
        <f t="shared" si="6"/>
        <v>0</v>
      </c>
      <c r="I212" s="11">
        <f t="shared" si="7"/>
        <v>-70085.329999999958</v>
      </c>
    </row>
    <row r="213" spans="1:9" hidden="1">
      <c r="A213" s="1"/>
      <c r="B213" s="1"/>
      <c r="C213" s="5" t="s">
        <v>434</v>
      </c>
      <c r="D213" s="5" t="s">
        <v>435</v>
      </c>
      <c r="E213" s="2">
        <v>1567352.27</v>
      </c>
      <c r="F213" s="2">
        <v>1567352.27</v>
      </c>
      <c r="G213" s="2">
        <v>1371433.03</v>
      </c>
      <c r="H213" s="11">
        <f t="shared" si="6"/>
        <v>0</v>
      </c>
      <c r="I213" s="11">
        <f t="shared" si="7"/>
        <v>-195919.24</v>
      </c>
    </row>
    <row r="214" spans="1:9" hidden="1">
      <c r="A214" s="1"/>
      <c r="B214" s="1"/>
      <c r="C214" s="5" t="s">
        <v>436</v>
      </c>
      <c r="D214" s="5" t="s">
        <v>437</v>
      </c>
      <c r="E214" s="2">
        <v>-68645.11</v>
      </c>
      <c r="F214" s="2">
        <v>-68645.11</v>
      </c>
      <c r="G214" s="2">
        <v>-65212.86</v>
      </c>
      <c r="H214" s="11">
        <f t="shared" si="6"/>
        <v>0</v>
      </c>
      <c r="I214" s="11">
        <f t="shared" si="7"/>
        <v>3432.25</v>
      </c>
    </row>
    <row r="215" spans="1:9" hidden="1">
      <c r="A215" s="1"/>
      <c r="B215" s="1"/>
      <c r="C215" s="5" t="s">
        <v>438</v>
      </c>
      <c r="D215" s="5" t="s">
        <v>439</v>
      </c>
      <c r="E215" s="2">
        <v>64524.66</v>
      </c>
      <c r="F215" s="2">
        <v>64524.66</v>
      </c>
      <c r="G215" s="2">
        <v>61298.400000000001</v>
      </c>
      <c r="H215" s="11">
        <f t="shared" si="6"/>
        <v>0</v>
      </c>
      <c r="I215" s="11">
        <f t="shared" si="7"/>
        <v>-3226.260000000002</v>
      </c>
    </row>
    <row r="216" spans="1:9" hidden="1">
      <c r="A216" s="1"/>
      <c r="B216" s="1"/>
      <c r="C216" s="5" t="s">
        <v>440</v>
      </c>
      <c r="D216" s="5" t="s">
        <v>441</v>
      </c>
      <c r="E216" s="2">
        <v>590.1</v>
      </c>
      <c r="F216" s="2">
        <v>590.1</v>
      </c>
      <c r="G216" s="2">
        <v>560.59</v>
      </c>
      <c r="H216" s="11">
        <f t="shared" si="6"/>
        <v>0</v>
      </c>
      <c r="I216" s="11">
        <f t="shared" si="7"/>
        <v>-29.509999999999991</v>
      </c>
    </row>
    <row r="217" spans="1:9" hidden="1">
      <c r="A217" s="1"/>
      <c r="B217" s="1"/>
      <c r="C217" s="5" t="s">
        <v>442</v>
      </c>
      <c r="D217" s="5" t="s">
        <v>443</v>
      </c>
      <c r="E217" s="2">
        <v>24512.400000000001</v>
      </c>
      <c r="F217" s="2">
        <v>24512.400000000001</v>
      </c>
      <c r="G217" s="2">
        <v>23286.78</v>
      </c>
      <c r="H217" s="11">
        <f t="shared" si="6"/>
        <v>0</v>
      </c>
      <c r="I217" s="11">
        <f t="shared" si="7"/>
        <v>-1225.6200000000026</v>
      </c>
    </row>
    <row r="218" spans="1:9" hidden="1">
      <c r="A218" s="1"/>
      <c r="B218" s="1"/>
      <c r="C218" s="5" t="s">
        <v>444</v>
      </c>
      <c r="D218" s="5" t="s">
        <v>445</v>
      </c>
      <c r="E218" s="2">
        <v>0</v>
      </c>
      <c r="F218" s="2">
        <v>0</v>
      </c>
      <c r="G218" s="2">
        <v>0</v>
      </c>
      <c r="H218" s="11">
        <f t="shared" si="6"/>
        <v>0</v>
      </c>
      <c r="I218" s="11">
        <f t="shared" si="7"/>
        <v>0</v>
      </c>
    </row>
    <row r="219" spans="1:9" hidden="1">
      <c r="A219" s="1"/>
      <c r="B219" s="1"/>
      <c r="C219" s="5" t="s">
        <v>446</v>
      </c>
      <c r="D219" s="5" t="s">
        <v>447</v>
      </c>
      <c r="E219" s="2">
        <v>0</v>
      </c>
      <c r="F219" s="2">
        <v>0</v>
      </c>
      <c r="G219" s="2">
        <v>0</v>
      </c>
      <c r="H219" s="11">
        <f t="shared" si="6"/>
        <v>0</v>
      </c>
      <c r="I219" s="11">
        <f t="shared" si="7"/>
        <v>0</v>
      </c>
    </row>
    <row r="220" spans="1:9">
      <c r="A220" s="1"/>
      <c r="B220" s="1"/>
      <c r="C220" s="5" t="s">
        <v>448</v>
      </c>
      <c r="D220" s="5" t="s">
        <v>449</v>
      </c>
      <c r="E220" s="2">
        <v>2593201.0099999998</v>
      </c>
      <c r="F220" s="2">
        <v>2693201.01</v>
      </c>
      <c r="G220" s="2">
        <v>2693201.01</v>
      </c>
      <c r="H220" s="11">
        <f t="shared" si="6"/>
        <v>100000</v>
      </c>
      <c r="I220" s="11">
        <f t="shared" si="7"/>
        <v>0</v>
      </c>
    </row>
    <row r="221" spans="1:9" hidden="1">
      <c r="A221" s="1"/>
      <c r="B221" s="1"/>
      <c r="C221" s="5" t="s">
        <v>450</v>
      </c>
      <c r="D221" s="5" t="s">
        <v>451</v>
      </c>
      <c r="E221" s="2">
        <v>232297.22</v>
      </c>
      <c r="F221" s="2">
        <v>232297.22</v>
      </c>
      <c r="G221" s="2">
        <v>232297.22</v>
      </c>
      <c r="H221" s="11">
        <f t="shared" si="6"/>
        <v>0</v>
      </c>
      <c r="I221" s="11">
        <f t="shared" si="7"/>
        <v>0</v>
      </c>
    </row>
    <row r="222" spans="1:9" hidden="1">
      <c r="A222" s="1"/>
      <c r="B222" s="1"/>
      <c r="C222" s="5" t="s">
        <v>452</v>
      </c>
      <c r="D222" s="5" t="s">
        <v>453</v>
      </c>
      <c r="E222" s="2">
        <v>1934203.07</v>
      </c>
      <c r="F222" s="2">
        <v>1934203.07</v>
      </c>
      <c r="G222" s="2">
        <v>1934203.07</v>
      </c>
      <c r="H222" s="11">
        <f t="shared" si="6"/>
        <v>0</v>
      </c>
      <c r="I222" s="11">
        <f t="shared" si="7"/>
        <v>0</v>
      </c>
    </row>
    <row r="223" spans="1:9" hidden="1">
      <c r="A223" s="1"/>
      <c r="B223" s="1"/>
      <c r="C223" s="5" t="s">
        <v>454</v>
      </c>
      <c r="D223" s="5" t="s">
        <v>455</v>
      </c>
      <c r="E223" s="2">
        <v>626947.9</v>
      </c>
      <c r="F223" s="2">
        <v>626947.9</v>
      </c>
      <c r="G223" s="2">
        <v>626947.9</v>
      </c>
      <c r="H223" s="11">
        <f t="shared" si="6"/>
        <v>0</v>
      </c>
      <c r="I223" s="11">
        <f t="shared" si="7"/>
        <v>0</v>
      </c>
    </row>
    <row r="224" spans="1:9" hidden="1">
      <c r="A224" s="1"/>
      <c r="B224" s="1"/>
      <c r="C224" s="5" t="s">
        <v>456</v>
      </c>
      <c r="D224" s="5" t="s">
        <v>457</v>
      </c>
      <c r="E224" s="2">
        <v>681310.74</v>
      </c>
      <c r="F224" s="2">
        <v>681310.74</v>
      </c>
      <c r="G224" s="2">
        <v>681310.74</v>
      </c>
      <c r="H224" s="11">
        <f t="shared" si="6"/>
        <v>0</v>
      </c>
      <c r="I224" s="11">
        <f t="shared" si="7"/>
        <v>0</v>
      </c>
    </row>
    <row r="225" spans="1:9" hidden="1">
      <c r="A225" s="1"/>
      <c r="B225" s="1"/>
      <c r="C225" s="5" t="s">
        <v>458</v>
      </c>
      <c r="D225" s="5" t="s">
        <v>459</v>
      </c>
      <c r="E225" s="2">
        <v>3078672.09</v>
      </c>
      <c r="F225" s="2">
        <v>3078672.09</v>
      </c>
      <c r="G225" s="2">
        <v>3078672.09</v>
      </c>
      <c r="H225" s="11">
        <f t="shared" si="6"/>
        <v>0</v>
      </c>
      <c r="I225" s="11">
        <f t="shared" si="7"/>
        <v>0</v>
      </c>
    </row>
    <row r="226" spans="1:9" hidden="1">
      <c r="A226" s="1"/>
      <c r="B226" s="1"/>
      <c r="C226" s="5" t="s">
        <v>460</v>
      </c>
      <c r="D226" s="5" t="s">
        <v>461</v>
      </c>
      <c r="E226" s="2">
        <v>0</v>
      </c>
      <c r="F226" s="2">
        <v>0</v>
      </c>
      <c r="G226" s="2">
        <v>0</v>
      </c>
      <c r="H226" s="11">
        <f t="shared" si="6"/>
        <v>0</v>
      </c>
      <c r="I226" s="11">
        <f t="shared" si="7"/>
        <v>0</v>
      </c>
    </row>
    <row r="227" spans="1:9" hidden="1">
      <c r="A227" s="1"/>
      <c r="B227" s="1"/>
      <c r="C227" s="5" t="s">
        <v>462</v>
      </c>
      <c r="D227" s="5" t="s">
        <v>463</v>
      </c>
      <c r="E227" s="2">
        <v>519260.2</v>
      </c>
      <c r="F227" s="2">
        <v>519260.2</v>
      </c>
      <c r="G227" s="2">
        <v>519260.2</v>
      </c>
      <c r="H227" s="11">
        <f t="shared" si="6"/>
        <v>0</v>
      </c>
      <c r="I227" s="11">
        <f t="shared" si="7"/>
        <v>0</v>
      </c>
    </row>
    <row r="228" spans="1:9" hidden="1">
      <c r="A228" s="1"/>
      <c r="B228" s="1"/>
      <c r="C228" s="5" t="s">
        <v>464</v>
      </c>
      <c r="D228" s="5" t="s">
        <v>465</v>
      </c>
      <c r="E228" s="2">
        <v>317195.89</v>
      </c>
      <c r="F228" s="2">
        <v>317195.89</v>
      </c>
      <c r="G228" s="2">
        <v>317195.89</v>
      </c>
      <c r="H228" s="11">
        <f t="shared" si="6"/>
        <v>0</v>
      </c>
      <c r="I228" s="11">
        <f t="shared" si="7"/>
        <v>0</v>
      </c>
    </row>
    <row r="229" spans="1:9" hidden="1">
      <c r="A229" s="1"/>
      <c r="B229" s="1"/>
      <c r="C229" s="5" t="s">
        <v>466</v>
      </c>
      <c r="D229" s="5" t="s">
        <v>467</v>
      </c>
      <c r="E229" s="2">
        <v>238557.58</v>
      </c>
      <c r="F229" s="2">
        <v>238557.58</v>
      </c>
      <c r="G229" s="2">
        <v>226629.56</v>
      </c>
      <c r="H229" s="11">
        <f t="shared" si="6"/>
        <v>0</v>
      </c>
      <c r="I229" s="11">
        <f t="shared" si="7"/>
        <v>-11928.01999999999</v>
      </c>
    </row>
    <row r="230" spans="1:9" hidden="1">
      <c r="A230" s="1"/>
      <c r="B230" s="1"/>
      <c r="C230" s="5" t="s">
        <v>468</v>
      </c>
      <c r="D230" s="5" t="s">
        <v>469</v>
      </c>
      <c r="E230" s="2">
        <v>3486079.49</v>
      </c>
      <c r="F230" s="2">
        <v>3486079.49</v>
      </c>
      <c r="G230" s="2">
        <v>3486079.49</v>
      </c>
      <c r="H230" s="11">
        <f t="shared" si="6"/>
        <v>0</v>
      </c>
      <c r="I230" s="11">
        <f t="shared" si="7"/>
        <v>0</v>
      </c>
    </row>
    <row r="231" spans="1:9" hidden="1">
      <c r="A231" s="1"/>
      <c r="B231" s="1"/>
      <c r="C231" s="5" t="s">
        <v>470</v>
      </c>
      <c r="D231" s="5" t="s">
        <v>471</v>
      </c>
      <c r="E231" s="2">
        <v>-760.85</v>
      </c>
      <c r="F231" s="2">
        <v>-760.85</v>
      </c>
      <c r="G231" s="2">
        <v>-760.85</v>
      </c>
      <c r="H231" s="11">
        <f t="shared" si="6"/>
        <v>0</v>
      </c>
      <c r="I231" s="11">
        <f t="shared" si="7"/>
        <v>0</v>
      </c>
    </row>
    <row r="232" spans="1:9" hidden="1">
      <c r="A232" s="1"/>
      <c r="B232" s="1"/>
      <c r="C232" s="5" t="s">
        <v>472</v>
      </c>
      <c r="D232" s="5" t="s">
        <v>473</v>
      </c>
      <c r="E232" s="2">
        <v>84506.7</v>
      </c>
      <c r="F232" s="2">
        <v>84506.7</v>
      </c>
      <c r="G232" s="2">
        <v>84506.7</v>
      </c>
      <c r="H232" s="11">
        <f t="shared" si="6"/>
        <v>0</v>
      </c>
      <c r="I232" s="11">
        <f t="shared" si="7"/>
        <v>0</v>
      </c>
    </row>
    <row r="233" spans="1:9" hidden="1">
      <c r="A233" s="1"/>
      <c r="B233" s="1"/>
      <c r="C233" s="5" t="s">
        <v>474</v>
      </c>
      <c r="D233" s="5" t="s">
        <v>475</v>
      </c>
      <c r="E233" s="2">
        <v>704490.02</v>
      </c>
      <c r="F233" s="2">
        <v>704490.02</v>
      </c>
      <c r="G233" s="2">
        <v>704490.02</v>
      </c>
      <c r="H233" s="11">
        <f t="shared" si="6"/>
        <v>0</v>
      </c>
      <c r="I233" s="11">
        <f t="shared" si="7"/>
        <v>0</v>
      </c>
    </row>
    <row r="234" spans="1:9" hidden="1">
      <c r="A234" s="1"/>
      <c r="B234" s="1"/>
      <c r="C234" s="5" t="s">
        <v>476</v>
      </c>
      <c r="D234" s="5" t="s">
        <v>477</v>
      </c>
      <c r="E234" s="2">
        <v>233212.32</v>
      </c>
      <c r="F234" s="2">
        <v>233212.32</v>
      </c>
      <c r="G234" s="2">
        <v>233212.32</v>
      </c>
      <c r="H234" s="11">
        <f t="shared" si="6"/>
        <v>0</v>
      </c>
      <c r="I234" s="11">
        <f t="shared" si="7"/>
        <v>0</v>
      </c>
    </row>
    <row r="235" spans="1:9" hidden="1">
      <c r="A235" s="1"/>
      <c r="B235" s="1"/>
      <c r="C235" s="5" t="s">
        <v>478</v>
      </c>
      <c r="D235" s="5" t="s">
        <v>479</v>
      </c>
      <c r="E235" s="2">
        <v>5155.24</v>
      </c>
      <c r="F235" s="2">
        <v>5155.24</v>
      </c>
      <c r="G235" s="2">
        <v>274772.24</v>
      </c>
      <c r="H235" s="11">
        <f t="shared" si="6"/>
        <v>0</v>
      </c>
      <c r="I235" s="11">
        <f t="shared" si="7"/>
        <v>269617</v>
      </c>
    </row>
    <row r="236" spans="1:9" hidden="1">
      <c r="A236" s="1"/>
      <c r="B236" s="1"/>
      <c r="C236" s="5" t="s">
        <v>480</v>
      </c>
      <c r="D236" s="5" t="s">
        <v>481</v>
      </c>
      <c r="E236" s="2">
        <v>182407.05</v>
      </c>
      <c r="F236" s="2">
        <v>182407.05</v>
      </c>
      <c r="G236" s="2">
        <v>182407.05</v>
      </c>
      <c r="H236" s="11">
        <f t="shared" si="6"/>
        <v>0</v>
      </c>
      <c r="I236" s="11">
        <f t="shared" si="7"/>
        <v>0</v>
      </c>
    </row>
    <row r="237" spans="1:9" hidden="1">
      <c r="A237" s="1"/>
      <c r="B237" s="1"/>
      <c r="C237" s="5" t="s">
        <v>482</v>
      </c>
      <c r="D237" s="5" t="s">
        <v>483</v>
      </c>
      <c r="E237" s="2">
        <v>5008040.45</v>
      </c>
      <c r="F237" s="2">
        <v>5008040.45</v>
      </c>
      <c r="G237" s="2">
        <v>5008040.45</v>
      </c>
      <c r="H237" s="11">
        <f t="shared" si="6"/>
        <v>0</v>
      </c>
      <c r="I237" s="11">
        <f t="shared" si="7"/>
        <v>0</v>
      </c>
    </row>
    <row r="238" spans="1:9" hidden="1">
      <c r="A238" s="1"/>
      <c r="B238" s="1"/>
      <c r="C238" s="5" t="s">
        <v>484</v>
      </c>
      <c r="D238" s="5" t="s">
        <v>485</v>
      </c>
      <c r="E238" s="2">
        <v>-15176225.439999999</v>
      </c>
      <c r="F238" s="2">
        <v>-15176225.439999999</v>
      </c>
      <c r="G238" s="2">
        <v>-15176225.439999999</v>
      </c>
      <c r="H238" s="11">
        <f t="shared" si="6"/>
        <v>0</v>
      </c>
      <c r="I238" s="11">
        <f t="shared" si="7"/>
        <v>0</v>
      </c>
    </row>
    <row r="239" spans="1:9" hidden="1">
      <c r="A239" s="1"/>
      <c r="B239" s="1"/>
      <c r="C239" s="5" t="s">
        <v>486</v>
      </c>
      <c r="D239" s="5" t="s">
        <v>487</v>
      </c>
      <c r="E239" s="2">
        <v>16078.13</v>
      </c>
      <c r="F239" s="2">
        <v>16078.13</v>
      </c>
      <c r="G239" s="2">
        <v>16078.13</v>
      </c>
      <c r="H239" s="11">
        <f t="shared" si="6"/>
        <v>0</v>
      </c>
      <c r="I239" s="11">
        <f t="shared" si="7"/>
        <v>0</v>
      </c>
    </row>
    <row r="240" spans="1:9">
      <c r="A240" s="1"/>
      <c r="B240" s="1"/>
      <c r="C240" s="5" t="s">
        <v>488</v>
      </c>
      <c r="D240" s="5" t="s">
        <v>489</v>
      </c>
      <c r="E240" s="2">
        <v>-1199036.1399999999</v>
      </c>
      <c r="F240" s="2">
        <v>-1199036.17</v>
      </c>
      <c r="G240" s="2">
        <v>-1199036.17</v>
      </c>
      <c r="H240" s="11">
        <f t="shared" si="6"/>
        <v>-3.0000000027939677E-2</v>
      </c>
      <c r="I240" s="11">
        <f t="shared" si="7"/>
        <v>0</v>
      </c>
    </row>
    <row r="241" spans="1:9">
      <c r="A241" s="1"/>
      <c r="B241" s="1"/>
      <c r="C241" s="5" t="s">
        <v>490</v>
      </c>
      <c r="D241" s="5" t="s">
        <v>491</v>
      </c>
      <c r="E241" s="2">
        <v>-100963.67</v>
      </c>
      <c r="F241" s="2">
        <v>-36499.26</v>
      </c>
      <c r="G241" s="2">
        <v>13500.74</v>
      </c>
      <c r="H241" s="11">
        <f t="shared" si="6"/>
        <v>64464.409999999996</v>
      </c>
      <c r="I241" s="11">
        <f t="shared" si="7"/>
        <v>50000</v>
      </c>
    </row>
    <row r="242" spans="1:9" hidden="1">
      <c r="A242" s="1"/>
      <c r="B242" s="1"/>
      <c r="C242" s="5" t="s">
        <v>492</v>
      </c>
      <c r="D242" s="5" t="s">
        <v>493</v>
      </c>
      <c r="E242" s="2">
        <v>463455.36</v>
      </c>
      <c r="F242" s="2">
        <v>463455.36</v>
      </c>
      <c r="G242" s="2">
        <v>463455.36</v>
      </c>
      <c r="H242" s="11">
        <f t="shared" si="6"/>
        <v>0</v>
      </c>
      <c r="I242" s="11">
        <f t="shared" si="7"/>
        <v>0</v>
      </c>
    </row>
    <row r="243" spans="1:9" hidden="1">
      <c r="A243" s="1"/>
      <c r="B243" s="1"/>
      <c r="C243" s="5" t="s">
        <v>494</v>
      </c>
      <c r="D243" s="5" t="s">
        <v>495</v>
      </c>
      <c r="E243" s="2">
        <v>0</v>
      </c>
      <c r="F243" s="2">
        <v>0</v>
      </c>
      <c r="G243" s="2">
        <v>0</v>
      </c>
      <c r="H243" s="11">
        <f t="shared" si="6"/>
        <v>0</v>
      </c>
      <c r="I243" s="11">
        <f t="shared" si="7"/>
        <v>0</v>
      </c>
    </row>
    <row r="244" spans="1:9" hidden="1">
      <c r="A244" s="1"/>
      <c r="B244" s="1"/>
      <c r="C244" s="5" t="s">
        <v>496</v>
      </c>
      <c r="D244" s="5" t="s">
        <v>497</v>
      </c>
      <c r="E244" s="2">
        <v>45504.7</v>
      </c>
      <c r="F244" s="2">
        <v>45504.7</v>
      </c>
      <c r="G244" s="2">
        <v>45504.7</v>
      </c>
      <c r="H244" s="11">
        <f t="shared" si="6"/>
        <v>0</v>
      </c>
      <c r="I244" s="11">
        <f t="shared" si="7"/>
        <v>0</v>
      </c>
    </row>
    <row r="245" spans="1:9" hidden="1">
      <c r="A245" s="1"/>
      <c r="B245" s="1"/>
      <c r="C245" s="5" t="s">
        <v>498</v>
      </c>
      <c r="D245" s="5" t="s">
        <v>499</v>
      </c>
      <c r="E245" s="2">
        <v>545.02</v>
      </c>
      <c r="F245" s="2">
        <v>545.02</v>
      </c>
      <c r="G245" s="2">
        <v>545.02</v>
      </c>
      <c r="H245" s="11">
        <f t="shared" si="6"/>
        <v>0</v>
      </c>
      <c r="I245" s="11">
        <f t="shared" si="7"/>
        <v>0</v>
      </c>
    </row>
    <row r="246" spans="1:9" hidden="1">
      <c r="A246" s="1"/>
      <c r="B246" s="1"/>
      <c r="C246" s="5" t="s">
        <v>500</v>
      </c>
      <c r="D246" s="5" t="s">
        <v>501</v>
      </c>
      <c r="E246" s="2">
        <v>6981.43</v>
      </c>
      <c r="F246" s="2">
        <v>6981.43</v>
      </c>
      <c r="G246" s="2">
        <v>6981.43</v>
      </c>
      <c r="H246" s="11">
        <f t="shared" si="6"/>
        <v>0</v>
      </c>
      <c r="I246" s="11">
        <f t="shared" si="7"/>
        <v>0</v>
      </c>
    </row>
    <row r="247" spans="1:9" hidden="1">
      <c r="A247" s="1"/>
      <c r="B247" s="1"/>
      <c r="C247" s="5" t="s">
        <v>502</v>
      </c>
      <c r="D247" s="5" t="s">
        <v>503</v>
      </c>
      <c r="E247" s="2">
        <v>-124528.75</v>
      </c>
      <c r="F247" s="2">
        <v>-124528.75</v>
      </c>
      <c r="G247" s="2">
        <v>-124528.75</v>
      </c>
      <c r="H247" s="11">
        <f t="shared" si="6"/>
        <v>0</v>
      </c>
      <c r="I247" s="11">
        <f t="shared" si="7"/>
        <v>0</v>
      </c>
    </row>
    <row r="248" spans="1:9" hidden="1">
      <c r="A248" s="1"/>
      <c r="B248" s="1"/>
      <c r="C248" s="5" t="s">
        <v>504</v>
      </c>
      <c r="D248" s="5" t="s">
        <v>505</v>
      </c>
      <c r="E248" s="2">
        <v>-191987.35</v>
      </c>
      <c r="F248" s="2">
        <v>-191987.35</v>
      </c>
      <c r="G248" s="2">
        <v>-191987.35</v>
      </c>
      <c r="H248" s="11">
        <f t="shared" si="6"/>
        <v>0</v>
      </c>
      <c r="I248" s="11">
        <f t="shared" si="7"/>
        <v>0</v>
      </c>
    </row>
    <row r="249" spans="1:9" hidden="1">
      <c r="A249" s="1"/>
      <c r="B249" s="1"/>
      <c r="C249" s="5" t="s">
        <v>506</v>
      </c>
      <c r="D249" s="5" t="s">
        <v>507</v>
      </c>
      <c r="E249" s="2">
        <v>681536.36</v>
      </c>
      <c r="F249" s="2">
        <v>681536.36</v>
      </c>
      <c r="G249" s="2">
        <v>681536.36</v>
      </c>
      <c r="H249" s="11">
        <f t="shared" si="6"/>
        <v>0</v>
      </c>
      <c r="I249" s="11">
        <f t="shared" si="7"/>
        <v>0</v>
      </c>
    </row>
    <row r="250" spans="1:9" hidden="1">
      <c r="A250" s="1"/>
      <c r="B250" s="1"/>
      <c r="C250" s="5" t="s">
        <v>508</v>
      </c>
      <c r="D250" s="5" t="s">
        <v>509</v>
      </c>
      <c r="E250" s="2">
        <v>8045.44</v>
      </c>
      <c r="F250" s="2">
        <v>8045.44</v>
      </c>
      <c r="G250" s="2">
        <v>8045.44</v>
      </c>
      <c r="H250" s="11">
        <f t="shared" si="6"/>
        <v>0</v>
      </c>
      <c r="I250" s="11">
        <f t="shared" si="7"/>
        <v>0</v>
      </c>
    </row>
    <row r="251" spans="1:9" hidden="1">
      <c r="A251" s="1"/>
      <c r="B251" s="1"/>
      <c r="C251" s="5" t="s">
        <v>510</v>
      </c>
      <c r="D251" s="5" t="s">
        <v>511</v>
      </c>
      <c r="E251" s="2">
        <v>97555.29</v>
      </c>
      <c r="F251" s="2">
        <v>97555.29</v>
      </c>
      <c r="G251" s="2">
        <v>97555.29</v>
      </c>
      <c r="H251" s="11">
        <f t="shared" si="6"/>
        <v>0</v>
      </c>
      <c r="I251" s="11">
        <f t="shared" si="7"/>
        <v>0</v>
      </c>
    </row>
    <row r="252" spans="1:9" hidden="1">
      <c r="A252" s="1"/>
      <c r="B252" s="1"/>
      <c r="C252" s="5" t="s">
        <v>512</v>
      </c>
      <c r="D252" s="5" t="s">
        <v>513</v>
      </c>
      <c r="E252" s="2">
        <v>1157129.45</v>
      </c>
      <c r="F252" s="2">
        <v>1157129.45</v>
      </c>
      <c r="G252" s="2">
        <v>1157129.45</v>
      </c>
      <c r="H252" s="11">
        <f t="shared" si="6"/>
        <v>0</v>
      </c>
      <c r="I252" s="11">
        <f t="shared" si="7"/>
        <v>0</v>
      </c>
    </row>
    <row r="253" spans="1:9" hidden="1">
      <c r="A253" s="1"/>
      <c r="B253" s="1"/>
      <c r="C253" s="5" t="s">
        <v>514</v>
      </c>
      <c r="D253" s="5" t="s">
        <v>515</v>
      </c>
      <c r="E253" s="2">
        <v>-16371363.41</v>
      </c>
      <c r="F253" s="2">
        <v>-16371363.41</v>
      </c>
      <c r="G253" s="2">
        <v>-16371363.41</v>
      </c>
      <c r="H253" s="11">
        <f t="shared" si="6"/>
        <v>0</v>
      </c>
      <c r="I253" s="11">
        <f t="shared" si="7"/>
        <v>0</v>
      </c>
    </row>
    <row r="254" spans="1:9" hidden="1">
      <c r="A254" s="1"/>
      <c r="B254" s="1"/>
      <c r="C254" s="5" t="s">
        <v>516</v>
      </c>
      <c r="D254" s="5" t="s">
        <v>517</v>
      </c>
      <c r="E254" s="2">
        <v>16329737.720000001</v>
      </c>
      <c r="F254" s="2">
        <v>16329737.720000001</v>
      </c>
      <c r="G254" s="2">
        <v>16329737.720000001</v>
      </c>
      <c r="H254" s="11">
        <f t="shared" si="6"/>
        <v>0</v>
      </c>
      <c r="I254" s="11">
        <f t="shared" si="7"/>
        <v>0</v>
      </c>
    </row>
    <row r="255" spans="1:9" hidden="1">
      <c r="A255" s="1"/>
      <c r="B255" s="1"/>
      <c r="C255" s="5" t="s">
        <v>518</v>
      </c>
      <c r="D255" s="5" t="s">
        <v>519</v>
      </c>
      <c r="E255" s="2">
        <v>430.34</v>
      </c>
      <c r="F255" s="2">
        <v>430.34</v>
      </c>
      <c r="G255" s="2">
        <v>430.34</v>
      </c>
      <c r="H255" s="11">
        <f t="shared" si="6"/>
        <v>0</v>
      </c>
      <c r="I255" s="11">
        <f t="shared" si="7"/>
        <v>0</v>
      </c>
    </row>
    <row r="256" spans="1:9" hidden="1">
      <c r="A256" s="1"/>
      <c r="B256" s="1"/>
      <c r="C256" s="5" t="s">
        <v>520</v>
      </c>
      <c r="D256" s="5" t="s">
        <v>521</v>
      </c>
      <c r="E256" s="2">
        <v>7982.22</v>
      </c>
      <c r="F256" s="2">
        <v>7982.22</v>
      </c>
      <c r="G256" s="2">
        <v>7982.22</v>
      </c>
      <c r="H256" s="11">
        <f t="shared" si="6"/>
        <v>0</v>
      </c>
      <c r="I256" s="11">
        <f t="shared" si="7"/>
        <v>0</v>
      </c>
    </row>
    <row r="257" spans="1:9" hidden="1">
      <c r="A257" s="1"/>
      <c r="B257" s="1"/>
      <c r="C257" s="5" t="s">
        <v>522</v>
      </c>
      <c r="D257" s="5" t="s">
        <v>523</v>
      </c>
      <c r="E257" s="2">
        <v>220.38</v>
      </c>
      <c r="F257" s="2">
        <v>220.38</v>
      </c>
      <c r="G257" s="2">
        <v>220.38</v>
      </c>
      <c r="H257" s="11">
        <f t="shared" si="6"/>
        <v>0</v>
      </c>
      <c r="I257" s="11">
        <f t="shared" si="7"/>
        <v>0</v>
      </c>
    </row>
    <row r="258" spans="1:9">
      <c r="A258" s="1"/>
      <c r="B258" s="1"/>
      <c r="C258" s="9" t="s">
        <v>169</v>
      </c>
      <c r="D258" s="7"/>
      <c r="E258" s="8">
        <v>-9441100.5999999996</v>
      </c>
      <c r="F258" s="8">
        <v>-46320338.960000001</v>
      </c>
      <c r="G258" s="8">
        <v>-46344161.270000003</v>
      </c>
      <c r="H258" s="11">
        <f t="shared" si="6"/>
        <v>-36879238.359999999</v>
      </c>
      <c r="I258" s="11">
        <f t="shared" si="7"/>
        <v>-23822.310000002384</v>
      </c>
    </row>
    <row r="259" spans="1:9" hidden="1">
      <c r="A259" s="5" t="s">
        <v>524</v>
      </c>
      <c r="B259" s="5" t="s">
        <v>525</v>
      </c>
      <c r="C259" s="5" t="s">
        <v>526</v>
      </c>
      <c r="D259" s="5" t="s">
        <v>527</v>
      </c>
      <c r="E259" s="2">
        <v>0</v>
      </c>
      <c r="F259" s="2">
        <v>0</v>
      </c>
      <c r="G259" s="2">
        <v>0</v>
      </c>
      <c r="H259" s="11">
        <f t="shared" si="6"/>
        <v>0</v>
      </c>
      <c r="I259" s="11">
        <f t="shared" si="7"/>
        <v>0</v>
      </c>
    </row>
    <row r="260" spans="1:9" hidden="1">
      <c r="A260" s="1"/>
      <c r="B260" s="1"/>
      <c r="C260" s="5" t="s">
        <v>528</v>
      </c>
      <c r="D260" s="5" t="s">
        <v>529</v>
      </c>
      <c r="E260" s="2">
        <v>0</v>
      </c>
      <c r="F260" s="2">
        <v>0</v>
      </c>
      <c r="G260" s="2">
        <v>0</v>
      </c>
      <c r="H260" s="11">
        <f t="shared" si="6"/>
        <v>0</v>
      </c>
      <c r="I260" s="11">
        <f t="shared" si="7"/>
        <v>0</v>
      </c>
    </row>
    <row r="261" spans="1:9" hidden="1">
      <c r="A261" s="1"/>
      <c r="B261" s="1"/>
      <c r="C261" s="5" t="s">
        <v>530</v>
      </c>
      <c r="D261" s="5" t="s">
        <v>531</v>
      </c>
      <c r="E261" s="2">
        <v>0</v>
      </c>
      <c r="F261" s="2">
        <v>0</v>
      </c>
      <c r="G261" s="2">
        <v>0</v>
      </c>
      <c r="H261" s="11">
        <f t="shared" si="6"/>
        <v>0</v>
      </c>
      <c r="I261" s="11">
        <f t="shared" si="7"/>
        <v>0</v>
      </c>
    </row>
    <row r="262" spans="1:9" hidden="1">
      <c r="A262" s="1"/>
      <c r="B262" s="1"/>
      <c r="C262" s="5" t="s">
        <v>532</v>
      </c>
      <c r="D262" s="5" t="s">
        <v>533</v>
      </c>
      <c r="E262" s="2">
        <v>0</v>
      </c>
      <c r="F262" s="2">
        <v>0</v>
      </c>
      <c r="G262" s="2">
        <v>0</v>
      </c>
      <c r="H262" s="11">
        <f t="shared" ref="H262:H265" si="8">F262-E262</f>
        <v>0</v>
      </c>
      <c r="I262" s="11">
        <f t="shared" ref="I262:I265" si="9">G262-F262</f>
        <v>0</v>
      </c>
    </row>
    <row r="263" spans="1:9" hidden="1">
      <c r="A263" s="1"/>
      <c r="B263" s="1"/>
      <c r="C263" s="5" t="s">
        <v>534</v>
      </c>
      <c r="D263" s="5" t="s">
        <v>535</v>
      </c>
      <c r="E263" s="2">
        <v>0</v>
      </c>
      <c r="F263" s="2">
        <v>0</v>
      </c>
      <c r="G263" s="2">
        <v>0</v>
      </c>
      <c r="H263" s="11">
        <f t="shared" si="8"/>
        <v>0</v>
      </c>
      <c r="I263" s="11">
        <f t="shared" si="9"/>
        <v>0</v>
      </c>
    </row>
    <row r="264" spans="1:9" hidden="1">
      <c r="A264" s="1"/>
      <c r="B264" s="1"/>
      <c r="C264" s="5" t="s">
        <v>536</v>
      </c>
      <c r="D264" s="5" t="s">
        <v>537</v>
      </c>
      <c r="E264" s="2">
        <v>0</v>
      </c>
      <c r="F264" s="2">
        <v>0</v>
      </c>
      <c r="G264" s="2">
        <v>0</v>
      </c>
      <c r="H264" s="11">
        <f t="shared" si="8"/>
        <v>0</v>
      </c>
      <c r="I264" s="11">
        <f t="shared" si="9"/>
        <v>0</v>
      </c>
    </row>
    <row r="265" spans="1:9" hidden="1">
      <c r="A265" s="1"/>
      <c r="B265" s="1"/>
      <c r="C265" s="9" t="s">
        <v>169</v>
      </c>
      <c r="D265" s="7"/>
      <c r="E265" s="8">
        <v>0</v>
      </c>
      <c r="F265" s="8">
        <v>0</v>
      </c>
      <c r="G265" s="8">
        <v>0</v>
      </c>
      <c r="H265" s="11">
        <f t="shared" si="8"/>
        <v>0</v>
      </c>
      <c r="I265" s="11">
        <f t="shared" si="9"/>
        <v>0</v>
      </c>
    </row>
  </sheetData>
  <autoFilter ref="E2:I265" xr:uid="{9F7541B4-5E46-4915-9872-E8B4722E40F6}">
    <filterColumn colId="3">
      <filters>
        <filter val="0.03"/>
        <filter val="-0.03"/>
        <filter val="1,054,459.98"/>
        <filter val="100,000.00"/>
        <filter val="-14,948,144.06"/>
        <filter val="-154,041.14"/>
        <filter val="160,871.91"/>
        <filter val="-17,646,710.18"/>
        <filter val="-2,374,000.02"/>
        <filter val="-205,004.53"/>
        <filter val="-21,856.82"/>
        <filter val="25.33"/>
        <filter val="-3.00"/>
        <filter val="-30,810,493.89"/>
        <filter val="32.14"/>
        <filter val="-320.00"/>
        <filter val="-36,879,238.36"/>
        <filter val="-40,000.02"/>
        <filter val="-402,268.21"/>
        <filter val="-43,000.02"/>
        <filter val="522,941.26"/>
        <filter val="-522,941.26"/>
        <filter val="-6,975,139.66"/>
        <filter val="64,464.41"/>
        <filter val="68,373.32"/>
        <filter val="95.77"/>
        <filter val="EUR"/>
        <filter val="Temps"/>
      </filters>
    </filterColumn>
  </autoFilter>
  <pageMargins left="0.7" right="0.7" top="0.75" bottom="0.75" header="0.3" footer="0.3"/>
  <pageSetup paperSize="9" orientation="portrait" verticalDpi="0" r:id="rId1"/>
  <customProperties>
    <customPr name="_pios_id" r:id="rId2"/>
    <customPr name="CofWorksheetType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8764-D2C1-4826-B5F7-86B74C26A7F3}">
  <dimension ref="A1:H49"/>
  <sheetViews>
    <sheetView topLeftCell="A19" workbookViewId="0">
      <selection activeCell="H55" sqref="H55"/>
    </sheetView>
  </sheetViews>
  <sheetFormatPr defaultRowHeight="15"/>
  <cols>
    <col min="1" max="1" width="15.140625" bestFit="1" customWidth="1"/>
    <col min="2" max="2" width="27.85546875" bestFit="1" customWidth="1"/>
    <col min="3" max="3" width="11" bestFit="1" customWidth="1"/>
    <col min="4" max="4" width="18.140625" bestFit="1" customWidth="1"/>
    <col min="5" max="5" width="16.140625" bestFit="1" customWidth="1"/>
    <col min="6" max="6" width="26.140625" bestFit="1" customWidth="1"/>
    <col min="7" max="7" width="11.28515625" bestFit="1" customWidth="1"/>
    <col min="8" max="8" width="23.5703125" bestFit="1" customWidth="1"/>
    <col min="9" max="9" width="24.42578125" bestFit="1" customWidth="1"/>
    <col min="10" max="10" width="11.28515625" bestFit="1" customWidth="1"/>
    <col min="11" max="11" width="23.5703125" bestFit="1" customWidth="1"/>
    <col min="12" max="12" width="18.42578125" bestFit="1" customWidth="1"/>
    <col min="13" max="13" width="4.42578125" bestFit="1" customWidth="1"/>
    <col min="14" max="14" width="23.5703125" bestFit="1" customWidth="1"/>
    <col min="15" max="15" width="12" bestFit="1" customWidth="1"/>
    <col min="16" max="16" width="4" bestFit="1" customWidth="1"/>
    <col min="17" max="17" width="23.5703125" bestFit="1" customWidth="1"/>
    <col min="18" max="18" width="17.5703125" bestFit="1" customWidth="1"/>
    <col min="19" max="19" width="4" bestFit="1" customWidth="1"/>
    <col min="20" max="20" width="23.5703125" bestFit="1" customWidth="1"/>
  </cols>
  <sheetData>
    <row r="1" spans="1:8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5" t="s">
        <v>1</v>
      </c>
      <c r="G1" s="1"/>
      <c r="H1" s="1"/>
    </row>
    <row r="2" spans="1:8">
      <c r="A2" s="4" t="s">
        <v>0</v>
      </c>
      <c r="B2" s="4" t="s">
        <v>0</v>
      </c>
      <c r="C2" s="4" t="s">
        <v>0</v>
      </c>
      <c r="D2" s="4" t="s">
        <v>0</v>
      </c>
      <c r="E2" s="4" t="s">
        <v>2</v>
      </c>
      <c r="F2" s="5" t="s">
        <v>3</v>
      </c>
      <c r="G2" s="5" t="s">
        <v>4</v>
      </c>
      <c r="H2" s="5" t="s">
        <v>5</v>
      </c>
    </row>
    <row r="3" spans="1:8">
      <c r="A3" s="4" t="s">
        <v>0</v>
      </c>
      <c r="B3" s="4" t="s">
        <v>0</v>
      </c>
      <c r="C3" s="4" t="s">
        <v>0</v>
      </c>
      <c r="D3" s="4" t="s">
        <v>0</v>
      </c>
      <c r="E3" s="3"/>
      <c r="F3" s="5" t="s">
        <v>8</v>
      </c>
      <c r="G3" s="5" t="s">
        <v>9</v>
      </c>
      <c r="H3" s="5" t="s">
        <v>10</v>
      </c>
    </row>
    <row r="4" spans="1:8">
      <c r="A4" s="4" t="s">
        <v>13</v>
      </c>
      <c r="B4" s="3"/>
      <c r="C4" s="4" t="s">
        <v>14</v>
      </c>
      <c r="D4" s="3"/>
      <c r="E4" s="4" t="s">
        <v>538</v>
      </c>
      <c r="F4" s="6" t="s">
        <v>15</v>
      </c>
      <c r="G4" s="6" t="s">
        <v>15</v>
      </c>
      <c r="H4" s="6" t="s">
        <v>15</v>
      </c>
    </row>
    <row r="5" spans="1:8">
      <c r="A5" s="5" t="s">
        <v>16</v>
      </c>
      <c r="B5" s="5" t="s">
        <v>17</v>
      </c>
      <c r="C5" s="5" t="s">
        <v>34</v>
      </c>
      <c r="D5" s="5" t="s">
        <v>35</v>
      </c>
      <c r="E5" s="5" t="s">
        <v>539</v>
      </c>
      <c r="F5" s="2">
        <v>0</v>
      </c>
      <c r="G5" s="2"/>
      <c r="H5" s="2"/>
    </row>
    <row r="6" spans="1:8">
      <c r="A6" s="1"/>
      <c r="B6" s="1"/>
      <c r="C6" s="1"/>
      <c r="D6" s="1"/>
      <c r="E6" s="5" t="s">
        <v>540</v>
      </c>
      <c r="F6" s="2">
        <v>0</v>
      </c>
      <c r="G6" s="2"/>
      <c r="H6" s="2"/>
    </row>
    <row r="7" spans="1:8">
      <c r="A7" s="1"/>
      <c r="B7" s="1"/>
      <c r="C7" s="1"/>
      <c r="D7" s="1"/>
      <c r="E7" s="5" t="s">
        <v>541</v>
      </c>
      <c r="F7" s="2">
        <v>0</v>
      </c>
      <c r="G7" s="2"/>
      <c r="H7" s="2"/>
    </row>
    <row r="8" spans="1:8">
      <c r="A8" s="1"/>
      <c r="B8" s="1"/>
      <c r="C8" s="1"/>
      <c r="D8" s="1"/>
      <c r="E8" s="5" t="s">
        <v>542</v>
      </c>
      <c r="F8" s="2">
        <v>0</v>
      </c>
      <c r="G8" s="2"/>
      <c r="H8" s="2"/>
    </row>
    <row r="9" spans="1:8">
      <c r="A9" s="1"/>
      <c r="B9" s="1"/>
      <c r="C9" s="1"/>
      <c r="D9" s="1"/>
      <c r="E9" s="5" t="s">
        <v>543</v>
      </c>
      <c r="F9" s="2">
        <v>0</v>
      </c>
      <c r="G9" s="2"/>
      <c r="H9" s="2"/>
    </row>
    <row r="10" spans="1:8">
      <c r="A10" s="1"/>
      <c r="B10" s="1"/>
      <c r="C10" s="1"/>
      <c r="D10" s="1"/>
      <c r="E10" s="5" t="s">
        <v>544</v>
      </c>
      <c r="F10" s="2">
        <v>0</v>
      </c>
      <c r="G10" s="2"/>
      <c r="H10" s="2"/>
    </row>
    <row r="11" spans="1:8">
      <c r="A11" s="1"/>
      <c r="B11" s="1"/>
      <c r="C11" s="1"/>
      <c r="D11" s="1"/>
      <c r="E11" s="5" t="s">
        <v>545</v>
      </c>
      <c r="F11" s="2"/>
      <c r="G11" s="2">
        <v>0</v>
      </c>
      <c r="H11" s="2">
        <v>0</v>
      </c>
    </row>
    <row r="12" spans="1:8">
      <c r="A12" s="1"/>
      <c r="B12" s="1"/>
      <c r="C12" s="1"/>
      <c r="D12" s="1"/>
      <c r="E12" s="5" t="s">
        <v>546</v>
      </c>
      <c r="F12" s="2"/>
      <c r="G12" s="2">
        <v>0</v>
      </c>
      <c r="H12" s="2">
        <v>0</v>
      </c>
    </row>
    <row r="13" spans="1:8">
      <c r="A13" s="1"/>
      <c r="B13" s="1"/>
      <c r="C13" s="1"/>
      <c r="D13" s="1"/>
      <c r="E13" s="5" t="s">
        <v>547</v>
      </c>
      <c r="F13" s="2"/>
      <c r="G13" s="2">
        <v>0</v>
      </c>
      <c r="H13" s="2">
        <v>0</v>
      </c>
    </row>
    <row r="14" spans="1:8">
      <c r="A14" s="1"/>
      <c r="B14" s="1"/>
      <c r="C14" s="1"/>
      <c r="D14" s="1"/>
      <c r="E14" s="5" t="s">
        <v>548</v>
      </c>
      <c r="F14" s="2"/>
      <c r="G14" s="2">
        <v>0</v>
      </c>
      <c r="H14" s="2">
        <v>0</v>
      </c>
    </row>
    <row r="15" spans="1:8">
      <c r="A15" s="1"/>
      <c r="B15" s="1"/>
      <c r="C15" s="1"/>
      <c r="D15" s="1"/>
      <c r="E15" s="5" t="s">
        <v>549</v>
      </c>
      <c r="F15" s="2"/>
      <c r="G15" s="2">
        <v>0</v>
      </c>
      <c r="H15" s="2">
        <v>0</v>
      </c>
    </row>
    <row r="16" spans="1:8">
      <c r="A16" s="1"/>
      <c r="B16" s="1"/>
      <c r="C16" s="1"/>
      <c r="D16" s="1"/>
      <c r="E16" s="5" t="s">
        <v>550</v>
      </c>
      <c r="F16" s="2"/>
      <c r="G16" s="2">
        <v>0</v>
      </c>
      <c r="H16" s="2">
        <v>0</v>
      </c>
    </row>
    <row r="17" spans="1:8">
      <c r="A17" s="1"/>
      <c r="B17" s="1"/>
      <c r="C17" s="1"/>
      <c r="D17" s="1"/>
      <c r="E17" s="5" t="s">
        <v>551</v>
      </c>
      <c r="F17" s="2">
        <v>3821296.6</v>
      </c>
      <c r="G17" s="2"/>
      <c r="H17" s="2"/>
    </row>
    <row r="18" spans="1:8">
      <c r="A18" s="1"/>
      <c r="B18" s="1"/>
      <c r="C18" s="1"/>
      <c r="D18" s="1"/>
      <c r="E18" s="5" t="s">
        <v>552</v>
      </c>
      <c r="F18" s="2">
        <v>3821296.6</v>
      </c>
      <c r="G18" s="2"/>
      <c r="H18" s="2"/>
    </row>
    <row r="19" spans="1:8">
      <c r="A19" s="1"/>
      <c r="B19" s="1"/>
      <c r="C19" s="1"/>
      <c r="D19" s="1"/>
      <c r="E19" s="5" t="s">
        <v>553</v>
      </c>
      <c r="F19" s="2">
        <v>3821296.6</v>
      </c>
      <c r="G19" s="2"/>
      <c r="H19" s="2"/>
    </row>
    <row r="20" spans="1:8">
      <c r="A20" s="1"/>
      <c r="B20" s="1"/>
      <c r="C20" s="1"/>
      <c r="D20" s="1"/>
      <c r="E20" s="5" t="s">
        <v>554</v>
      </c>
      <c r="F20" s="2">
        <v>3821296.6</v>
      </c>
      <c r="G20" s="2"/>
      <c r="H20" s="2"/>
    </row>
    <row r="21" spans="1:8">
      <c r="A21" s="1"/>
      <c r="B21" s="1"/>
      <c r="C21" s="1"/>
      <c r="D21" s="1"/>
      <c r="E21" s="5" t="s">
        <v>555</v>
      </c>
      <c r="F21" s="2">
        <v>3333028.28</v>
      </c>
      <c r="G21" s="2"/>
      <c r="H21" s="2"/>
    </row>
    <row r="22" spans="1:8">
      <c r="A22" s="1"/>
      <c r="B22" s="1"/>
      <c r="C22" s="1"/>
      <c r="D22" s="1"/>
      <c r="E22" s="5" t="s">
        <v>556</v>
      </c>
      <c r="F22" s="2">
        <v>3333028.28</v>
      </c>
      <c r="G22" s="2"/>
      <c r="H22" s="2"/>
    </row>
    <row r="23" spans="1:8">
      <c r="A23" s="1"/>
      <c r="B23" s="1"/>
      <c r="C23" s="1"/>
      <c r="D23" s="1"/>
      <c r="E23" s="5" t="s">
        <v>557</v>
      </c>
      <c r="F23" s="2"/>
      <c r="G23" s="2">
        <v>16000.96</v>
      </c>
      <c r="H23" s="2">
        <v>16000.96</v>
      </c>
    </row>
    <row r="24" spans="1:8">
      <c r="A24" s="1"/>
      <c r="B24" s="1"/>
      <c r="C24" s="1"/>
      <c r="D24" s="1"/>
      <c r="E24" s="5" t="s">
        <v>558</v>
      </c>
      <c r="F24" s="2"/>
      <c r="G24" s="2">
        <v>308990.93</v>
      </c>
      <c r="H24" s="2">
        <v>308990.93</v>
      </c>
    </row>
    <row r="25" spans="1:8">
      <c r="A25" s="1"/>
      <c r="B25" s="1"/>
      <c r="C25" s="1"/>
      <c r="D25" s="1"/>
      <c r="E25" s="5" t="s">
        <v>559</v>
      </c>
      <c r="F25" s="2"/>
      <c r="G25" s="2">
        <v>16929.759999999998</v>
      </c>
      <c r="H25" s="2">
        <v>16929.759999999998</v>
      </c>
    </row>
    <row r="26" spans="1:8">
      <c r="A26" s="1"/>
      <c r="B26" s="1"/>
      <c r="C26" s="1"/>
      <c r="D26" s="1"/>
      <c r="E26" s="5" t="s">
        <v>560</v>
      </c>
      <c r="F26" s="2"/>
      <c r="G26" s="2">
        <v>825261.5</v>
      </c>
      <c r="H26" s="2">
        <v>825261.5</v>
      </c>
    </row>
    <row r="27" spans="1:8">
      <c r="A27" s="1"/>
      <c r="B27" s="1"/>
      <c r="C27" s="1"/>
      <c r="D27" s="1"/>
      <c r="E27" s="5" t="s">
        <v>561</v>
      </c>
      <c r="F27" s="2"/>
      <c r="G27" s="2">
        <v>16000.96</v>
      </c>
      <c r="H27" s="2">
        <v>16000.96</v>
      </c>
    </row>
    <row r="28" spans="1:8">
      <c r="A28" s="1"/>
      <c r="B28" s="1"/>
      <c r="C28" s="1"/>
      <c r="D28" s="1"/>
      <c r="E28" s="5" t="s">
        <v>562</v>
      </c>
      <c r="F28" s="2"/>
      <c r="G28" s="2">
        <v>308990.93</v>
      </c>
      <c r="H28" s="2">
        <v>308990.93</v>
      </c>
    </row>
    <row r="29" spans="1:8">
      <c r="A29" s="1"/>
      <c r="B29" s="1"/>
      <c r="C29" s="1"/>
      <c r="D29" s="1"/>
      <c r="E29" s="5" t="s">
        <v>563</v>
      </c>
      <c r="F29" s="2"/>
      <c r="G29" s="2">
        <v>16929.759999999998</v>
      </c>
      <c r="H29" s="2">
        <v>16929.759999999998</v>
      </c>
    </row>
    <row r="30" spans="1:8">
      <c r="A30" s="1"/>
      <c r="B30" s="1"/>
      <c r="C30" s="1"/>
      <c r="D30" s="1"/>
      <c r="E30" s="5" t="s">
        <v>564</v>
      </c>
      <c r="F30" s="2"/>
      <c r="G30" s="2">
        <v>825261.5</v>
      </c>
      <c r="H30" s="2">
        <v>825261.5</v>
      </c>
    </row>
    <row r="31" spans="1:8">
      <c r="A31" s="1"/>
      <c r="B31" s="1"/>
      <c r="C31" s="1"/>
      <c r="D31" s="1"/>
      <c r="E31" s="5" t="s">
        <v>565</v>
      </c>
      <c r="F31" s="2"/>
      <c r="G31" s="2">
        <v>16000.96</v>
      </c>
      <c r="H31" s="2">
        <v>16000.96</v>
      </c>
    </row>
    <row r="32" spans="1:8">
      <c r="A32" s="1"/>
      <c r="B32" s="1"/>
      <c r="C32" s="1"/>
      <c r="D32" s="1"/>
      <c r="E32" s="5" t="s">
        <v>566</v>
      </c>
      <c r="F32" s="2"/>
      <c r="G32" s="2">
        <v>308990.93</v>
      </c>
      <c r="H32" s="2">
        <v>308990.93</v>
      </c>
    </row>
    <row r="33" spans="1:8">
      <c r="A33" s="1"/>
      <c r="B33" s="1"/>
      <c r="C33" s="1"/>
      <c r="D33" s="1"/>
      <c r="E33" s="5" t="s">
        <v>567</v>
      </c>
      <c r="F33" s="2"/>
      <c r="G33" s="2">
        <v>16929.759999999998</v>
      </c>
      <c r="H33" s="2">
        <v>16929.759999999998</v>
      </c>
    </row>
    <row r="34" spans="1:8">
      <c r="A34" s="1"/>
      <c r="B34" s="1"/>
      <c r="C34" s="1"/>
      <c r="D34" s="1"/>
      <c r="E34" s="5" t="s">
        <v>568</v>
      </c>
      <c r="F34" s="2"/>
      <c r="G34" s="2">
        <v>825261.5</v>
      </c>
      <c r="H34" s="2">
        <v>825261.5</v>
      </c>
    </row>
    <row r="35" spans="1:8">
      <c r="A35" s="1"/>
      <c r="B35" s="1"/>
      <c r="C35" s="1"/>
      <c r="D35" s="1"/>
      <c r="E35" s="5" t="s">
        <v>569</v>
      </c>
      <c r="F35" s="2"/>
      <c r="G35" s="2">
        <v>16000.96</v>
      </c>
      <c r="H35" s="2">
        <v>16000.96</v>
      </c>
    </row>
    <row r="36" spans="1:8">
      <c r="A36" s="1"/>
      <c r="B36" s="1"/>
      <c r="C36" s="1"/>
      <c r="D36" s="1"/>
      <c r="E36" s="5" t="s">
        <v>570</v>
      </c>
      <c r="F36" s="2"/>
      <c r="G36" s="2">
        <v>308990.93</v>
      </c>
      <c r="H36" s="2">
        <v>308990.93</v>
      </c>
    </row>
    <row r="37" spans="1:8">
      <c r="A37" s="1"/>
      <c r="B37" s="1"/>
      <c r="C37" s="1"/>
      <c r="D37" s="1"/>
      <c r="E37" s="5" t="s">
        <v>571</v>
      </c>
      <c r="F37" s="2"/>
      <c r="G37" s="2">
        <v>16929.759999999998</v>
      </c>
      <c r="H37" s="2">
        <v>16929.759999999998</v>
      </c>
    </row>
    <row r="38" spans="1:8">
      <c r="A38" s="1"/>
      <c r="B38" s="1"/>
      <c r="C38" s="1"/>
      <c r="D38" s="1"/>
      <c r="E38" s="5" t="s">
        <v>572</v>
      </c>
      <c r="F38" s="2"/>
      <c r="G38" s="2">
        <v>825261.5</v>
      </c>
      <c r="H38" s="2">
        <v>825261.5</v>
      </c>
    </row>
    <row r="39" spans="1:8">
      <c r="A39" s="1"/>
      <c r="B39" s="1"/>
      <c r="C39" s="1"/>
      <c r="D39" s="1"/>
      <c r="E39" s="5" t="s">
        <v>573</v>
      </c>
      <c r="F39" s="2"/>
      <c r="G39" s="2">
        <v>16000.96</v>
      </c>
      <c r="H39" s="2">
        <v>16000.96</v>
      </c>
    </row>
    <row r="40" spans="1:8">
      <c r="A40" s="1"/>
      <c r="B40" s="1"/>
      <c r="C40" s="1"/>
      <c r="D40" s="1"/>
      <c r="E40" s="5" t="s">
        <v>574</v>
      </c>
      <c r="F40" s="2"/>
      <c r="G40" s="2">
        <v>308990.93</v>
      </c>
      <c r="H40" s="2">
        <v>308990.93</v>
      </c>
    </row>
    <row r="41" spans="1:8">
      <c r="A41" s="1"/>
      <c r="B41" s="1"/>
      <c r="C41" s="1"/>
      <c r="D41" s="1"/>
      <c r="E41" s="5" t="s">
        <v>575</v>
      </c>
      <c r="F41" s="2"/>
      <c r="G41" s="2">
        <v>16929.759999999998</v>
      </c>
      <c r="H41" s="2">
        <v>16929.759999999998</v>
      </c>
    </row>
    <row r="42" spans="1:8">
      <c r="A42" s="1"/>
      <c r="B42" s="1"/>
      <c r="C42" s="1"/>
      <c r="D42" s="1"/>
      <c r="E42" s="5" t="s">
        <v>576</v>
      </c>
      <c r="F42" s="2"/>
      <c r="G42" s="2">
        <v>825261.5</v>
      </c>
      <c r="H42" s="2">
        <v>825261.5</v>
      </c>
    </row>
    <row r="43" spans="1:8">
      <c r="A43" s="1"/>
      <c r="B43" s="1"/>
      <c r="C43" s="1"/>
      <c r="D43" s="1"/>
      <c r="E43" s="5" t="s">
        <v>577</v>
      </c>
      <c r="F43" s="2"/>
      <c r="G43" s="2">
        <v>16000.96</v>
      </c>
      <c r="H43" s="2">
        <v>16000.96</v>
      </c>
    </row>
    <row r="44" spans="1:8">
      <c r="A44" s="1"/>
      <c r="B44" s="1"/>
      <c r="C44" s="1"/>
      <c r="D44" s="1"/>
      <c r="E44" s="5" t="s">
        <v>578</v>
      </c>
      <c r="F44" s="2"/>
      <c r="G44" s="2">
        <v>308990.93</v>
      </c>
      <c r="H44" s="2">
        <v>308990.93</v>
      </c>
    </row>
    <row r="45" spans="1:8">
      <c r="A45" s="1"/>
      <c r="B45" s="1"/>
      <c r="C45" s="1"/>
      <c r="D45" s="1"/>
      <c r="E45" s="5" t="s">
        <v>579</v>
      </c>
      <c r="F45" s="2"/>
      <c r="G45" s="2">
        <v>16929.759999999998</v>
      </c>
      <c r="H45" s="2">
        <v>16929.759999999998</v>
      </c>
    </row>
    <row r="46" spans="1:8">
      <c r="A46" s="1"/>
      <c r="B46" s="1"/>
      <c r="C46" s="1"/>
      <c r="D46" s="1"/>
      <c r="E46" s="5" t="s">
        <v>580</v>
      </c>
      <c r="F46" s="2"/>
      <c r="G46" s="2">
        <v>825261.5</v>
      </c>
      <c r="H46" s="2">
        <v>825261.5</v>
      </c>
    </row>
    <row r="47" spans="1:8">
      <c r="A47" s="1"/>
      <c r="B47" s="1"/>
      <c r="C47" s="5" t="s">
        <v>36</v>
      </c>
      <c r="D47" s="5" t="s">
        <v>37</v>
      </c>
      <c r="E47" s="5" t="s">
        <v>581</v>
      </c>
      <c r="F47" s="2">
        <v>0</v>
      </c>
      <c r="G47" s="2"/>
      <c r="H47" s="2"/>
    </row>
    <row r="48" spans="1:8">
      <c r="A48" s="1"/>
      <c r="B48" s="1"/>
      <c r="C48" s="1"/>
      <c r="D48" s="1"/>
      <c r="E48" s="5" t="s">
        <v>582</v>
      </c>
      <c r="F48" s="2">
        <v>320</v>
      </c>
      <c r="G48" s="2"/>
      <c r="H48" s="2"/>
    </row>
    <row r="49" spans="1:8">
      <c r="A49" s="1"/>
      <c r="B49" s="1"/>
      <c r="C49" s="9" t="s">
        <v>169</v>
      </c>
      <c r="D49" s="7"/>
      <c r="E49" s="7"/>
      <c r="F49" s="8">
        <v>21951562.960000001</v>
      </c>
      <c r="G49" s="8">
        <v>7003098.9000000004</v>
      </c>
      <c r="H49" s="8">
        <v>7003098.9000000004</v>
      </c>
    </row>
  </sheetData>
  <pageMargins left="0.7" right="0.7" top="0.75" bottom="0.75" header="0.3" footer="0.3"/>
  <pageSetup paperSize="9" orientation="portrait" verticalDpi="0" r:id="rId1"/>
  <customProperties>
    <customPr name="_pios_id" r:id="rId2"/>
    <customPr name="CofWorksheetType" r:id="rId3"/>
  </customPropertie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39C0-24D8-4399-9498-65BF309E2A59}">
  <dimension ref="A1:H183"/>
  <sheetViews>
    <sheetView tabSelected="1" topLeftCell="F1" workbookViewId="0">
      <selection activeCell="P31" sqref="P31"/>
    </sheetView>
  </sheetViews>
  <sheetFormatPr defaultRowHeight="15"/>
  <cols>
    <col min="1" max="1" width="15.140625" bestFit="1" customWidth="1"/>
    <col min="2" max="2" width="27.85546875" bestFit="1" customWidth="1"/>
    <col min="3" max="3" width="11" bestFit="1" customWidth="1"/>
    <col min="4" max="4" width="14.42578125" bestFit="1" customWidth="1"/>
    <col min="5" max="5" width="16.140625" bestFit="1" customWidth="1"/>
    <col min="6" max="6" width="26.140625" bestFit="1" customWidth="1"/>
    <col min="7" max="7" width="10.42578125" bestFit="1" customWidth="1"/>
    <col min="8" max="8" width="23.5703125" bestFit="1" customWidth="1"/>
    <col min="9" max="9" width="26.140625" bestFit="1" customWidth="1"/>
    <col min="10" max="10" width="10.42578125" bestFit="1" customWidth="1"/>
    <col min="11" max="11" width="23.5703125" bestFit="1" customWidth="1"/>
    <col min="12" max="12" width="24.42578125" bestFit="1" customWidth="1"/>
    <col min="13" max="13" width="10.42578125" bestFit="1" customWidth="1"/>
    <col min="14" max="14" width="23.5703125" bestFit="1" customWidth="1"/>
    <col min="15" max="15" width="18.42578125" bestFit="1" customWidth="1"/>
    <col min="16" max="16" width="4.42578125" bestFit="1" customWidth="1"/>
    <col min="17" max="17" width="23.5703125" bestFit="1" customWidth="1"/>
    <col min="18" max="18" width="12" bestFit="1" customWidth="1"/>
    <col min="19" max="19" width="4" bestFit="1" customWidth="1"/>
    <col min="20" max="20" width="23.5703125" bestFit="1" customWidth="1"/>
    <col min="21" max="21" width="17.5703125" bestFit="1" customWidth="1"/>
    <col min="22" max="22" width="9.140625" bestFit="1" customWidth="1"/>
    <col min="23" max="23" width="23.5703125" bestFit="1" customWidth="1"/>
  </cols>
  <sheetData>
    <row r="1" spans="1:8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5" t="s">
        <v>1</v>
      </c>
      <c r="G1" s="1"/>
      <c r="H1" s="1"/>
    </row>
    <row r="2" spans="1:8">
      <c r="A2" s="4" t="s">
        <v>0</v>
      </c>
      <c r="B2" s="4" t="s">
        <v>0</v>
      </c>
      <c r="C2" s="4" t="s">
        <v>0</v>
      </c>
      <c r="D2" s="4" t="s">
        <v>0</v>
      </c>
      <c r="E2" s="4" t="s">
        <v>2</v>
      </c>
      <c r="F2" s="5" t="s">
        <v>3</v>
      </c>
      <c r="G2" s="5" t="s">
        <v>4</v>
      </c>
      <c r="H2" s="5" t="s">
        <v>5</v>
      </c>
    </row>
    <row r="3" spans="1:8">
      <c r="A3" s="4" t="s">
        <v>0</v>
      </c>
      <c r="B3" s="4" t="s">
        <v>0</v>
      </c>
      <c r="C3" s="4" t="s">
        <v>0</v>
      </c>
      <c r="D3" s="4" t="s">
        <v>0</v>
      </c>
      <c r="E3" s="3"/>
      <c r="F3" s="5" t="s">
        <v>8</v>
      </c>
      <c r="G3" s="5" t="s">
        <v>9</v>
      </c>
      <c r="H3" s="5" t="s">
        <v>10</v>
      </c>
    </row>
    <row r="4" spans="1:8">
      <c r="A4" s="4" t="s">
        <v>13</v>
      </c>
      <c r="B4" s="3"/>
      <c r="C4" s="4" t="s">
        <v>14</v>
      </c>
      <c r="D4" s="3"/>
      <c r="E4" s="4" t="s">
        <v>538</v>
      </c>
      <c r="F4" s="6" t="s">
        <v>15</v>
      </c>
      <c r="G4" s="6" t="s">
        <v>15</v>
      </c>
      <c r="H4" s="6" t="s">
        <v>15</v>
      </c>
    </row>
    <row r="5" spans="1:8">
      <c r="A5" s="5" t="s">
        <v>16</v>
      </c>
      <c r="B5" s="5" t="s">
        <v>17</v>
      </c>
      <c r="C5" s="5" t="s">
        <v>139</v>
      </c>
      <c r="D5" s="5" t="s">
        <v>140</v>
      </c>
      <c r="E5" s="5" t="s">
        <v>583</v>
      </c>
      <c r="F5" s="2">
        <v>0</v>
      </c>
      <c r="G5" s="2"/>
      <c r="H5" s="2"/>
    </row>
    <row r="6" spans="1:8">
      <c r="A6" s="1"/>
      <c r="B6" s="1"/>
      <c r="C6" s="1"/>
      <c r="D6" s="1"/>
      <c r="E6" s="5" t="s">
        <v>584</v>
      </c>
      <c r="F6" s="2">
        <v>0</v>
      </c>
      <c r="G6" s="2"/>
      <c r="H6" s="2"/>
    </row>
    <row r="7" spans="1:8">
      <c r="A7" s="1"/>
      <c r="B7" s="1"/>
      <c r="C7" s="1"/>
      <c r="D7" s="1"/>
      <c r="E7" s="5" t="s">
        <v>585</v>
      </c>
      <c r="F7" s="2"/>
      <c r="G7" s="2">
        <v>0</v>
      </c>
      <c r="H7" s="2">
        <v>0</v>
      </c>
    </row>
    <row r="8" spans="1:8">
      <c r="A8" s="1"/>
      <c r="B8" s="1"/>
      <c r="C8" s="1"/>
      <c r="D8" s="1"/>
      <c r="E8" s="5" t="s">
        <v>586</v>
      </c>
      <c r="F8" s="2"/>
      <c r="G8" s="2">
        <v>0</v>
      </c>
      <c r="H8" s="2">
        <v>0</v>
      </c>
    </row>
    <row r="9" spans="1:8">
      <c r="A9" s="1"/>
      <c r="B9" s="1"/>
      <c r="C9" s="1"/>
      <c r="D9" s="1"/>
      <c r="E9" s="5" t="s">
        <v>587</v>
      </c>
      <c r="F9" s="2"/>
      <c r="G9" s="2"/>
      <c r="H9" s="2">
        <v>-67775.25</v>
      </c>
    </row>
    <row r="10" spans="1:8">
      <c r="A10" s="1"/>
      <c r="B10" s="1"/>
      <c r="C10" s="1"/>
      <c r="D10" s="1"/>
      <c r="E10" s="5" t="s">
        <v>588</v>
      </c>
      <c r="F10" s="2"/>
      <c r="G10" s="2"/>
      <c r="H10" s="2">
        <v>-46803.75</v>
      </c>
    </row>
    <row r="11" spans="1:8">
      <c r="A11" s="1"/>
      <c r="B11" s="1"/>
      <c r="C11" s="1"/>
      <c r="D11" s="1"/>
      <c r="E11" s="5" t="s">
        <v>589</v>
      </c>
      <c r="F11" s="2"/>
      <c r="G11" s="2"/>
      <c r="H11" s="2">
        <v>-49535.25</v>
      </c>
    </row>
    <row r="12" spans="1:8">
      <c r="A12" s="1"/>
      <c r="B12" s="1"/>
      <c r="C12" s="1"/>
      <c r="D12" s="1"/>
      <c r="E12" s="5" t="s">
        <v>590</v>
      </c>
      <c r="F12" s="2"/>
      <c r="G12" s="2"/>
      <c r="H12" s="2">
        <v>-54325.5</v>
      </c>
    </row>
    <row r="13" spans="1:8">
      <c r="A13" s="1"/>
      <c r="B13" s="1"/>
      <c r="C13" s="1"/>
      <c r="D13" s="1"/>
      <c r="E13" s="5" t="s">
        <v>591</v>
      </c>
      <c r="F13" s="2"/>
      <c r="G13" s="2"/>
      <c r="H13" s="2">
        <v>-28083.75</v>
      </c>
    </row>
    <row r="14" spans="1:8">
      <c r="A14" s="1"/>
      <c r="B14" s="1"/>
      <c r="C14" s="1"/>
      <c r="D14" s="1"/>
      <c r="E14" s="5" t="s">
        <v>592</v>
      </c>
      <c r="F14" s="2"/>
      <c r="G14" s="2"/>
      <c r="H14" s="2">
        <v>-16305.75</v>
      </c>
    </row>
    <row r="15" spans="1:8">
      <c r="A15" s="1"/>
      <c r="B15" s="1"/>
      <c r="C15" s="1"/>
      <c r="D15" s="1"/>
      <c r="E15" s="5" t="s">
        <v>593</v>
      </c>
      <c r="F15" s="2"/>
      <c r="G15" s="2"/>
      <c r="H15" s="2">
        <v>-16008.75</v>
      </c>
    </row>
    <row r="16" spans="1:8">
      <c r="A16" s="1"/>
      <c r="B16" s="1"/>
      <c r="C16" s="1"/>
      <c r="D16" s="1"/>
      <c r="E16" s="5" t="s">
        <v>594</v>
      </c>
      <c r="F16" s="2"/>
      <c r="G16" s="2"/>
      <c r="H16" s="2">
        <v>-25015.5</v>
      </c>
    </row>
    <row r="17" spans="1:8">
      <c r="A17" s="1"/>
      <c r="B17" s="1"/>
      <c r="C17" s="1"/>
      <c r="D17" s="1"/>
      <c r="E17" s="5" t="s">
        <v>595</v>
      </c>
      <c r="F17" s="2"/>
      <c r="G17" s="2"/>
      <c r="H17" s="2">
        <v>-46803.75</v>
      </c>
    </row>
    <row r="18" spans="1:8">
      <c r="A18" s="1"/>
      <c r="B18" s="1"/>
      <c r="C18" s="1"/>
      <c r="D18" s="1"/>
      <c r="E18" s="5" t="s">
        <v>596</v>
      </c>
      <c r="F18" s="2"/>
      <c r="G18" s="2"/>
      <c r="H18" s="2">
        <v>-49535.25</v>
      </c>
    </row>
    <row r="19" spans="1:8">
      <c r="A19" s="1"/>
      <c r="B19" s="1"/>
      <c r="C19" s="1"/>
      <c r="D19" s="1"/>
      <c r="E19" s="5" t="s">
        <v>597</v>
      </c>
      <c r="F19" s="2"/>
      <c r="G19" s="2"/>
      <c r="H19" s="2">
        <v>-54325.5</v>
      </c>
    </row>
    <row r="20" spans="1:8">
      <c r="A20" s="1"/>
      <c r="B20" s="1"/>
      <c r="C20" s="1"/>
      <c r="D20" s="1"/>
      <c r="E20" s="5" t="s">
        <v>598</v>
      </c>
      <c r="F20" s="2"/>
      <c r="G20" s="2"/>
      <c r="H20" s="2">
        <v>-28083.75</v>
      </c>
    </row>
    <row r="21" spans="1:8">
      <c r="A21" s="1"/>
      <c r="B21" s="1"/>
      <c r="C21" s="1"/>
      <c r="D21" s="1"/>
      <c r="E21" s="5" t="s">
        <v>599</v>
      </c>
      <c r="F21" s="2"/>
      <c r="G21" s="2"/>
      <c r="H21" s="2">
        <v>-16305.75</v>
      </c>
    </row>
    <row r="22" spans="1:8">
      <c r="A22" s="1"/>
      <c r="B22" s="1"/>
      <c r="C22" s="1"/>
      <c r="D22" s="1"/>
      <c r="E22" s="5" t="s">
        <v>600</v>
      </c>
      <c r="F22" s="2"/>
      <c r="G22" s="2"/>
      <c r="H22" s="2">
        <v>-16008.75</v>
      </c>
    </row>
    <row r="23" spans="1:8">
      <c r="A23" s="1"/>
      <c r="B23" s="1"/>
      <c r="C23" s="1"/>
      <c r="D23" s="1"/>
      <c r="E23" s="5" t="s">
        <v>601</v>
      </c>
      <c r="F23" s="2"/>
      <c r="G23" s="2"/>
      <c r="H23" s="2">
        <v>-25015.5</v>
      </c>
    </row>
    <row r="24" spans="1:8">
      <c r="A24" s="1"/>
      <c r="B24" s="1"/>
      <c r="C24" s="1"/>
      <c r="D24" s="1"/>
      <c r="E24" s="5" t="s">
        <v>582</v>
      </c>
      <c r="F24" s="2">
        <v>3</v>
      </c>
      <c r="G24" s="2"/>
      <c r="H24" s="2"/>
    </row>
    <row r="25" spans="1:8">
      <c r="A25" s="1"/>
      <c r="B25" s="1"/>
      <c r="C25" s="1"/>
      <c r="D25" s="1"/>
      <c r="E25" s="5" t="s">
        <v>602</v>
      </c>
      <c r="F25" s="2">
        <v>303853.5</v>
      </c>
      <c r="G25" s="2">
        <v>303853.5</v>
      </c>
      <c r="H25" s="2">
        <v>303853.5</v>
      </c>
    </row>
    <row r="26" spans="1:8">
      <c r="A26" s="1"/>
      <c r="B26" s="1"/>
      <c r="C26" s="1"/>
      <c r="D26" s="1"/>
      <c r="E26" s="5" t="s">
        <v>603</v>
      </c>
      <c r="F26" s="2">
        <v>303853.5</v>
      </c>
      <c r="G26" s="2">
        <v>303853.5</v>
      </c>
      <c r="H26" s="2">
        <v>303853.5</v>
      </c>
    </row>
    <row r="27" spans="1:8">
      <c r="A27" s="1"/>
      <c r="B27" s="1"/>
      <c r="C27" s="9" t="s">
        <v>169</v>
      </c>
      <c r="D27" s="7"/>
      <c r="E27" s="7"/>
      <c r="F27" s="8">
        <v>607710</v>
      </c>
      <c r="G27" s="8">
        <v>607707</v>
      </c>
      <c r="H27" s="8">
        <v>67775.25</v>
      </c>
    </row>
    <row r="28" spans="1:8">
      <c r="A28" s="5" t="s">
        <v>170</v>
      </c>
      <c r="B28" s="5" t="s">
        <v>171</v>
      </c>
      <c r="C28" s="5" t="s">
        <v>490</v>
      </c>
      <c r="D28" s="5" t="s">
        <v>491</v>
      </c>
      <c r="E28" s="5" t="s">
        <v>604</v>
      </c>
      <c r="F28" s="2">
        <v>1320.71</v>
      </c>
      <c r="G28" s="2">
        <v>1320.71</v>
      </c>
      <c r="H28" s="2">
        <v>1320.71</v>
      </c>
    </row>
    <row r="29" spans="1:8">
      <c r="A29" s="1"/>
      <c r="B29" s="1"/>
      <c r="C29" s="1"/>
      <c r="D29" s="1"/>
      <c r="E29" s="5" t="s">
        <v>605</v>
      </c>
      <c r="F29" s="2">
        <v>12960</v>
      </c>
      <c r="G29" s="2">
        <v>12960</v>
      </c>
      <c r="H29" s="2">
        <v>12960</v>
      </c>
    </row>
    <row r="30" spans="1:8">
      <c r="A30" s="1"/>
      <c r="B30" s="1"/>
      <c r="C30" s="1"/>
      <c r="D30" s="1"/>
      <c r="E30" s="5" t="s">
        <v>606</v>
      </c>
      <c r="F30" s="2">
        <v>22250</v>
      </c>
      <c r="G30" s="2">
        <v>22250</v>
      </c>
      <c r="H30" s="2">
        <v>22250</v>
      </c>
    </row>
    <row r="31" spans="1:8">
      <c r="A31" s="1"/>
      <c r="B31" s="1"/>
      <c r="C31" s="1"/>
      <c r="D31" s="1"/>
      <c r="E31" s="5" t="s">
        <v>607</v>
      </c>
      <c r="F31" s="2">
        <v>-1320.71</v>
      </c>
      <c r="G31" s="2">
        <v>-1320.71</v>
      </c>
      <c r="H31" s="2">
        <v>-1320.71</v>
      </c>
    </row>
    <row r="32" spans="1:8">
      <c r="A32" s="1"/>
      <c r="B32" s="1"/>
      <c r="C32" s="1"/>
      <c r="D32" s="1"/>
      <c r="E32" s="5" t="s">
        <v>608</v>
      </c>
      <c r="F32" s="2">
        <v>1320.71</v>
      </c>
      <c r="G32" s="2">
        <v>1320.71</v>
      </c>
      <c r="H32" s="2">
        <v>1320.71</v>
      </c>
    </row>
    <row r="33" spans="1:8">
      <c r="A33" s="1"/>
      <c r="B33" s="1"/>
      <c r="C33" s="1"/>
      <c r="D33" s="1"/>
      <c r="E33" s="5" t="s">
        <v>609</v>
      </c>
      <c r="F33" s="2">
        <v>1320.71</v>
      </c>
      <c r="G33" s="2">
        <v>1320.71</v>
      </c>
      <c r="H33" s="2">
        <v>1320.71</v>
      </c>
    </row>
    <row r="34" spans="1:8">
      <c r="A34" s="1"/>
      <c r="B34" s="1"/>
      <c r="C34" s="1"/>
      <c r="D34" s="1"/>
      <c r="E34" s="5" t="s">
        <v>610</v>
      </c>
      <c r="F34" s="2">
        <v>7000</v>
      </c>
      <c r="G34" s="2">
        <v>7000</v>
      </c>
      <c r="H34" s="2">
        <v>7000</v>
      </c>
    </row>
    <row r="35" spans="1:8">
      <c r="A35" s="1"/>
      <c r="B35" s="1"/>
      <c r="C35" s="1"/>
      <c r="D35" s="1"/>
      <c r="E35" s="5" t="s">
        <v>611</v>
      </c>
      <c r="F35" s="2">
        <v>1320.71</v>
      </c>
      <c r="G35" s="2">
        <v>1320.71</v>
      </c>
      <c r="H35" s="2">
        <v>1320.71</v>
      </c>
    </row>
    <row r="36" spans="1:8">
      <c r="A36" s="1"/>
      <c r="B36" s="1"/>
      <c r="C36" s="1"/>
      <c r="D36" s="1"/>
      <c r="E36" s="5" t="s">
        <v>612</v>
      </c>
      <c r="F36" s="2">
        <v>1320.71</v>
      </c>
      <c r="G36" s="2">
        <v>1320.71</v>
      </c>
      <c r="H36" s="2">
        <v>1320.71</v>
      </c>
    </row>
    <row r="37" spans="1:8">
      <c r="A37" s="1"/>
      <c r="B37" s="1"/>
      <c r="C37" s="1"/>
      <c r="D37" s="1"/>
      <c r="E37" s="5" t="s">
        <v>613</v>
      </c>
      <c r="F37" s="2">
        <v>370.61</v>
      </c>
      <c r="G37" s="2">
        <v>370.61</v>
      </c>
      <c r="H37" s="2">
        <v>370.61</v>
      </c>
    </row>
    <row r="38" spans="1:8">
      <c r="A38" s="1"/>
      <c r="B38" s="1"/>
      <c r="C38" s="1"/>
      <c r="D38" s="1"/>
      <c r="E38" s="5" t="s">
        <v>614</v>
      </c>
      <c r="F38" s="2">
        <v>0</v>
      </c>
      <c r="G38" s="2">
        <v>0</v>
      </c>
      <c r="H38" s="2">
        <v>0</v>
      </c>
    </row>
    <row r="39" spans="1:8">
      <c r="A39" s="1"/>
      <c r="B39" s="1"/>
      <c r="C39" s="1"/>
      <c r="D39" s="1"/>
      <c r="E39" s="5" t="s">
        <v>615</v>
      </c>
      <c r="F39" s="2">
        <v>1201.8599999999999</v>
      </c>
      <c r="G39" s="2">
        <v>1201.8599999999999</v>
      </c>
      <c r="H39" s="2">
        <v>1201.8599999999999</v>
      </c>
    </row>
    <row r="40" spans="1:8">
      <c r="A40" s="1"/>
      <c r="B40" s="1"/>
      <c r="C40" s="1"/>
      <c r="D40" s="1"/>
      <c r="E40" s="5" t="s">
        <v>616</v>
      </c>
      <c r="F40" s="2">
        <v>934.78</v>
      </c>
      <c r="G40" s="2">
        <v>934.78</v>
      </c>
      <c r="H40" s="2">
        <v>934.78</v>
      </c>
    </row>
    <row r="41" spans="1:8">
      <c r="A41" s="1"/>
      <c r="B41" s="1"/>
      <c r="C41" s="1"/>
      <c r="D41" s="1"/>
      <c r="E41" s="5" t="s">
        <v>617</v>
      </c>
      <c r="F41" s="2">
        <v>-934.78</v>
      </c>
      <c r="G41" s="2">
        <v>-934.78</v>
      </c>
      <c r="H41" s="2">
        <v>-934.78</v>
      </c>
    </row>
    <row r="42" spans="1:8">
      <c r="A42" s="1"/>
      <c r="B42" s="1"/>
      <c r="C42" s="1"/>
      <c r="D42" s="1"/>
      <c r="E42" s="5" t="s">
        <v>618</v>
      </c>
      <c r="F42" s="2">
        <v>-1201.8599999999999</v>
      </c>
      <c r="G42" s="2">
        <v>-1201.8599999999999</v>
      </c>
      <c r="H42" s="2">
        <v>-1201.8599999999999</v>
      </c>
    </row>
    <row r="43" spans="1:8">
      <c r="A43" s="1"/>
      <c r="B43" s="1"/>
      <c r="C43" s="1"/>
      <c r="D43" s="1"/>
      <c r="E43" s="5" t="s">
        <v>619</v>
      </c>
      <c r="F43" s="2">
        <v>1201.81</v>
      </c>
      <c r="G43" s="2">
        <v>1201.81</v>
      </c>
      <c r="H43" s="2">
        <v>1201.81</v>
      </c>
    </row>
    <row r="44" spans="1:8">
      <c r="A44" s="1"/>
      <c r="B44" s="1"/>
      <c r="C44" s="1"/>
      <c r="D44" s="1"/>
      <c r="E44" s="5" t="s">
        <v>620</v>
      </c>
      <c r="F44" s="2">
        <v>934.74</v>
      </c>
      <c r="G44" s="2">
        <v>934.74</v>
      </c>
      <c r="H44" s="2">
        <v>934.74</v>
      </c>
    </row>
    <row r="45" spans="1:8">
      <c r="A45" s="1"/>
      <c r="B45" s="1"/>
      <c r="C45" s="1"/>
      <c r="D45" s="1"/>
      <c r="E45" s="5" t="s">
        <v>621</v>
      </c>
      <c r="F45" s="2">
        <v>-934.74</v>
      </c>
      <c r="G45" s="2">
        <v>-934.74</v>
      </c>
      <c r="H45" s="2">
        <v>-934.74</v>
      </c>
    </row>
    <row r="46" spans="1:8">
      <c r="A46" s="1"/>
      <c r="B46" s="1"/>
      <c r="C46" s="1"/>
      <c r="D46" s="1"/>
      <c r="E46" s="5" t="s">
        <v>622</v>
      </c>
      <c r="F46" s="2">
        <v>934.74</v>
      </c>
      <c r="G46" s="2">
        <v>934.74</v>
      </c>
      <c r="H46" s="2">
        <v>934.74</v>
      </c>
    </row>
    <row r="47" spans="1:8">
      <c r="A47" s="1"/>
      <c r="B47" s="1"/>
      <c r="C47" s="1"/>
      <c r="D47" s="1"/>
      <c r="E47" s="5" t="s">
        <v>623</v>
      </c>
      <c r="F47" s="2">
        <v>38.5</v>
      </c>
      <c r="G47" s="2">
        <v>38.5</v>
      </c>
      <c r="H47" s="2">
        <v>38.5</v>
      </c>
    </row>
    <row r="48" spans="1:8">
      <c r="A48" s="1"/>
      <c r="B48" s="1"/>
      <c r="C48" s="1"/>
      <c r="D48" s="1"/>
      <c r="E48" s="5" t="s">
        <v>624</v>
      </c>
      <c r="F48" s="2"/>
      <c r="G48" s="2"/>
      <c r="H48" s="2">
        <v>50000</v>
      </c>
    </row>
    <row r="49" spans="1:8">
      <c r="A49" s="1"/>
      <c r="B49" s="1"/>
      <c r="C49" s="1"/>
      <c r="D49" s="1"/>
      <c r="E49" s="5" t="s">
        <v>625</v>
      </c>
      <c r="F49" s="2">
        <v>64464.41</v>
      </c>
      <c r="G49" s="2"/>
      <c r="H49" s="2"/>
    </row>
    <row r="50" spans="1:8">
      <c r="A50" s="1"/>
      <c r="B50" s="1"/>
      <c r="C50" s="1"/>
      <c r="D50" s="1"/>
      <c r="E50" s="5" t="s">
        <v>626</v>
      </c>
      <c r="F50" s="2">
        <v>-64464.41</v>
      </c>
      <c r="G50" s="2"/>
      <c r="H50" s="2"/>
    </row>
    <row r="51" spans="1:8">
      <c r="A51" s="1"/>
      <c r="B51" s="1"/>
      <c r="C51" s="1"/>
      <c r="D51" s="1"/>
      <c r="E51" s="5" t="s">
        <v>627</v>
      </c>
      <c r="F51" s="2">
        <v>-64464.41</v>
      </c>
      <c r="G51" s="2"/>
      <c r="H51" s="2"/>
    </row>
    <row r="52" spans="1:8">
      <c r="A52" s="1"/>
      <c r="B52" s="1"/>
      <c r="C52" s="1"/>
      <c r="D52" s="1"/>
      <c r="E52" s="5" t="s">
        <v>628</v>
      </c>
      <c r="F52" s="2">
        <v>-952.7</v>
      </c>
      <c r="G52" s="2">
        <v>-952.7</v>
      </c>
      <c r="H52" s="2">
        <v>-952.7</v>
      </c>
    </row>
    <row r="53" spans="1:8">
      <c r="A53" s="1"/>
      <c r="B53" s="1"/>
      <c r="C53" s="1"/>
      <c r="D53" s="1"/>
      <c r="E53" s="5" t="s">
        <v>629</v>
      </c>
      <c r="F53" s="2">
        <v>15</v>
      </c>
      <c r="G53" s="2">
        <v>15</v>
      </c>
      <c r="H53" s="2">
        <v>15</v>
      </c>
    </row>
    <row r="54" spans="1:8">
      <c r="A54" s="1"/>
      <c r="B54" s="1"/>
      <c r="C54" s="1"/>
      <c r="D54" s="1"/>
      <c r="E54" s="5" t="s">
        <v>630</v>
      </c>
      <c r="F54" s="2">
        <v>459</v>
      </c>
      <c r="G54" s="2">
        <v>459</v>
      </c>
      <c r="H54" s="2">
        <v>459</v>
      </c>
    </row>
    <row r="55" spans="1:8">
      <c r="A55" s="1"/>
      <c r="B55" s="1"/>
      <c r="C55" s="1"/>
      <c r="D55" s="1"/>
      <c r="E55" s="5" t="s">
        <v>631</v>
      </c>
      <c r="F55" s="2">
        <v>153</v>
      </c>
      <c r="G55" s="2">
        <v>153</v>
      </c>
      <c r="H55" s="2">
        <v>153</v>
      </c>
    </row>
    <row r="56" spans="1:8">
      <c r="A56" s="1"/>
      <c r="B56" s="1"/>
      <c r="C56" s="1"/>
      <c r="D56" s="1"/>
      <c r="E56" s="5" t="s">
        <v>632</v>
      </c>
      <c r="F56" s="2">
        <v>-112481</v>
      </c>
      <c r="G56" s="2">
        <v>-112481</v>
      </c>
      <c r="H56" s="2">
        <v>-112481</v>
      </c>
    </row>
    <row r="57" spans="1:8">
      <c r="A57" s="1"/>
      <c r="B57" s="1"/>
      <c r="C57" s="1"/>
      <c r="D57" s="1"/>
      <c r="E57" s="5" t="s">
        <v>633</v>
      </c>
      <c r="F57" s="2">
        <v>-46899.15</v>
      </c>
      <c r="G57" s="2">
        <v>-46899.15</v>
      </c>
      <c r="H57" s="2">
        <v>-46899.15</v>
      </c>
    </row>
    <row r="58" spans="1:8">
      <c r="A58" s="1"/>
      <c r="B58" s="1"/>
      <c r="C58" s="1"/>
      <c r="D58" s="1"/>
      <c r="E58" s="5" t="s">
        <v>634</v>
      </c>
      <c r="F58" s="2">
        <v>-69920</v>
      </c>
      <c r="G58" s="2">
        <v>-69920</v>
      </c>
      <c r="H58" s="2">
        <v>-69920</v>
      </c>
    </row>
    <row r="59" spans="1:8">
      <c r="A59" s="1"/>
      <c r="B59" s="1"/>
      <c r="C59" s="1"/>
      <c r="D59" s="1"/>
      <c r="E59" s="5" t="s">
        <v>635</v>
      </c>
      <c r="F59" s="2">
        <v>112481</v>
      </c>
      <c r="G59" s="2">
        <v>112481</v>
      </c>
      <c r="H59" s="2">
        <v>112481</v>
      </c>
    </row>
    <row r="60" spans="1:8">
      <c r="A60" s="1"/>
      <c r="B60" s="1"/>
      <c r="C60" s="1"/>
      <c r="D60" s="1"/>
      <c r="E60" s="5" t="s">
        <v>636</v>
      </c>
      <c r="F60" s="2">
        <v>-112481</v>
      </c>
      <c r="G60" s="2">
        <v>-112481</v>
      </c>
      <c r="H60" s="2">
        <v>-112481</v>
      </c>
    </row>
    <row r="61" spans="1:8">
      <c r="A61" s="1"/>
      <c r="B61" s="1"/>
      <c r="C61" s="1"/>
      <c r="D61" s="1"/>
      <c r="E61" s="5" t="s">
        <v>637</v>
      </c>
      <c r="F61" s="2">
        <v>952.7</v>
      </c>
      <c r="G61" s="2">
        <v>952.7</v>
      </c>
      <c r="H61" s="2">
        <v>952.7</v>
      </c>
    </row>
    <row r="62" spans="1:8">
      <c r="A62" s="1"/>
      <c r="B62" s="1"/>
      <c r="C62" s="1"/>
      <c r="D62" s="1"/>
      <c r="E62" s="5" t="s">
        <v>638</v>
      </c>
      <c r="F62" s="2">
        <v>0</v>
      </c>
      <c r="G62" s="2">
        <v>0</v>
      </c>
      <c r="H62" s="2">
        <v>0</v>
      </c>
    </row>
    <row r="63" spans="1:8">
      <c r="A63" s="1"/>
      <c r="B63" s="1"/>
      <c r="C63" s="1"/>
      <c r="D63" s="1"/>
      <c r="E63" s="5" t="s">
        <v>639</v>
      </c>
      <c r="F63" s="2">
        <v>-162.11000000000001</v>
      </c>
      <c r="G63" s="2">
        <v>-162.11000000000001</v>
      </c>
      <c r="H63" s="2">
        <v>-162.11000000000001</v>
      </c>
    </row>
    <row r="64" spans="1:8">
      <c r="A64" s="1"/>
      <c r="B64" s="1"/>
      <c r="C64" s="1"/>
      <c r="D64" s="1"/>
      <c r="E64" s="5" t="s">
        <v>640</v>
      </c>
      <c r="F64" s="2">
        <v>0</v>
      </c>
      <c r="G64" s="2">
        <v>0</v>
      </c>
      <c r="H64" s="2">
        <v>0</v>
      </c>
    </row>
    <row r="65" spans="1:8">
      <c r="A65" s="1"/>
      <c r="B65" s="1"/>
      <c r="C65" s="1"/>
      <c r="D65" s="1"/>
      <c r="E65" s="5" t="s">
        <v>641</v>
      </c>
      <c r="F65" s="2">
        <v>112481</v>
      </c>
      <c r="G65" s="2">
        <v>112481</v>
      </c>
      <c r="H65" s="2">
        <v>112481</v>
      </c>
    </row>
    <row r="66" spans="1:8">
      <c r="A66" s="1"/>
      <c r="B66" s="1"/>
      <c r="C66" s="1"/>
      <c r="D66" s="1"/>
      <c r="E66" s="5" t="s">
        <v>642</v>
      </c>
      <c r="F66" s="2">
        <v>-112481</v>
      </c>
      <c r="G66" s="2">
        <v>-112481</v>
      </c>
      <c r="H66" s="2">
        <v>-112481</v>
      </c>
    </row>
    <row r="67" spans="1:8">
      <c r="A67" s="1"/>
      <c r="B67" s="1"/>
      <c r="C67" s="1"/>
      <c r="D67" s="1"/>
      <c r="E67" s="5" t="s">
        <v>643</v>
      </c>
      <c r="F67" s="2">
        <v>112481</v>
      </c>
      <c r="G67" s="2">
        <v>112481</v>
      </c>
      <c r="H67" s="2">
        <v>112481</v>
      </c>
    </row>
    <row r="68" spans="1:8">
      <c r="A68" s="1"/>
      <c r="B68" s="1"/>
      <c r="C68" s="1"/>
      <c r="D68" s="1"/>
      <c r="E68" s="5" t="s">
        <v>644</v>
      </c>
      <c r="F68" s="2">
        <v>-112481</v>
      </c>
      <c r="G68" s="2">
        <v>-112481</v>
      </c>
      <c r="H68" s="2">
        <v>-112481</v>
      </c>
    </row>
    <row r="69" spans="1:8">
      <c r="A69" s="1"/>
      <c r="B69" s="1"/>
      <c r="C69" s="1"/>
      <c r="D69" s="1"/>
      <c r="E69" s="5" t="s">
        <v>645</v>
      </c>
      <c r="F69" s="2">
        <v>-192.78</v>
      </c>
      <c r="G69" s="2">
        <v>-192.78</v>
      </c>
      <c r="H69" s="2">
        <v>-192.78</v>
      </c>
    </row>
    <row r="70" spans="1:8">
      <c r="A70" s="1"/>
      <c r="B70" s="1"/>
      <c r="C70" s="1"/>
      <c r="D70" s="1"/>
      <c r="E70" s="5" t="s">
        <v>646</v>
      </c>
      <c r="F70" s="2">
        <v>33.369999999999997</v>
      </c>
      <c r="G70" s="2">
        <v>33.369999999999997</v>
      </c>
      <c r="H70" s="2">
        <v>33.369999999999997</v>
      </c>
    </row>
    <row r="71" spans="1:8">
      <c r="A71" s="1"/>
      <c r="B71" s="1"/>
      <c r="C71" s="1"/>
      <c r="D71" s="1"/>
      <c r="E71" s="5" t="s">
        <v>647</v>
      </c>
      <c r="F71" s="2">
        <v>0</v>
      </c>
      <c r="G71" s="2">
        <v>0</v>
      </c>
      <c r="H71" s="2">
        <v>0</v>
      </c>
    </row>
    <row r="72" spans="1:8">
      <c r="A72" s="1"/>
      <c r="B72" s="1"/>
      <c r="C72" s="1"/>
      <c r="D72" s="1"/>
      <c r="E72" s="5" t="s">
        <v>648</v>
      </c>
      <c r="F72" s="2">
        <v>112481</v>
      </c>
      <c r="G72" s="2">
        <v>112481</v>
      </c>
      <c r="H72" s="2">
        <v>112481</v>
      </c>
    </row>
    <row r="73" spans="1:8">
      <c r="A73" s="1"/>
      <c r="B73" s="1"/>
      <c r="C73" s="1"/>
      <c r="D73" s="1"/>
      <c r="E73" s="5" t="s">
        <v>649</v>
      </c>
      <c r="F73" s="2">
        <v>-52.56</v>
      </c>
      <c r="G73" s="2">
        <v>-52.56</v>
      </c>
      <c r="H73" s="2">
        <v>-52.56</v>
      </c>
    </row>
    <row r="74" spans="1:8">
      <c r="A74" s="1"/>
      <c r="B74" s="1"/>
      <c r="C74" s="1"/>
      <c r="D74" s="1"/>
      <c r="E74" s="5" t="s">
        <v>650</v>
      </c>
      <c r="F74" s="2">
        <v>-112481</v>
      </c>
      <c r="G74" s="2">
        <v>-112481</v>
      </c>
      <c r="H74" s="2">
        <v>-112481</v>
      </c>
    </row>
    <row r="75" spans="1:8">
      <c r="A75" s="1"/>
      <c r="B75" s="1"/>
      <c r="C75" s="1"/>
      <c r="D75" s="1"/>
      <c r="E75" s="5" t="s">
        <v>651</v>
      </c>
      <c r="F75" s="2">
        <v>-91.12</v>
      </c>
      <c r="G75" s="2">
        <v>-91.12</v>
      </c>
      <c r="H75" s="2">
        <v>-91.12</v>
      </c>
    </row>
    <row r="76" spans="1:8">
      <c r="A76" s="1"/>
      <c r="B76" s="1"/>
      <c r="C76" s="1"/>
      <c r="D76" s="1"/>
      <c r="E76" s="5" t="s">
        <v>652</v>
      </c>
      <c r="F76" s="2">
        <v>112481</v>
      </c>
      <c r="G76" s="2">
        <v>112481</v>
      </c>
      <c r="H76" s="2">
        <v>112481</v>
      </c>
    </row>
    <row r="77" spans="1:8">
      <c r="A77" s="1"/>
      <c r="B77" s="1"/>
      <c r="C77" s="1"/>
      <c r="D77" s="1"/>
      <c r="E77" s="5" t="s">
        <v>653</v>
      </c>
      <c r="F77" s="2">
        <v>-112481</v>
      </c>
      <c r="G77" s="2">
        <v>-112481</v>
      </c>
      <c r="H77" s="2">
        <v>-112481</v>
      </c>
    </row>
    <row r="78" spans="1:8">
      <c r="A78" s="1"/>
      <c r="B78" s="1"/>
      <c r="C78" s="1"/>
      <c r="D78" s="1"/>
      <c r="E78" s="5" t="s">
        <v>654</v>
      </c>
      <c r="F78" s="2">
        <v>-140.47999999999999</v>
      </c>
      <c r="G78" s="2">
        <v>-140.47999999999999</v>
      </c>
      <c r="H78" s="2">
        <v>-140.47999999999999</v>
      </c>
    </row>
    <row r="79" spans="1:8">
      <c r="A79" s="1"/>
      <c r="B79" s="1"/>
      <c r="C79" s="1"/>
      <c r="D79" s="1"/>
      <c r="E79" s="5" t="s">
        <v>655</v>
      </c>
      <c r="F79" s="2">
        <v>112481</v>
      </c>
      <c r="G79" s="2">
        <v>112481</v>
      </c>
      <c r="H79" s="2">
        <v>112481</v>
      </c>
    </row>
    <row r="80" spans="1:8">
      <c r="A80" s="1"/>
      <c r="B80" s="1"/>
      <c r="C80" s="1"/>
      <c r="D80" s="1"/>
      <c r="E80" s="5" t="s">
        <v>656</v>
      </c>
      <c r="F80" s="2">
        <v>0</v>
      </c>
      <c r="G80" s="2">
        <v>0</v>
      </c>
      <c r="H80" s="2">
        <v>0</v>
      </c>
    </row>
    <row r="81" spans="1:8">
      <c r="A81" s="1"/>
      <c r="B81" s="1"/>
      <c r="C81" s="1"/>
      <c r="D81" s="1"/>
      <c r="E81" s="5" t="s">
        <v>657</v>
      </c>
      <c r="F81" s="2">
        <v>17.850000000000001</v>
      </c>
      <c r="G81" s="2">
        <v>17.850000000000001</v>
      </c>
      <c r="H81" s="2">
        <v>17.850000000000001</v>
      </c>
    </row>
    <row r="82" spans="1:8">
      <c r="A82" s="1"/>
      <c r="B82" s="1"/>
      <c r="C82" s="1"/>
      <c r="D82" s="1"/>
      <c r="E82" s="5" t="s">
        <v>658</v>
      </c>
      <c r="F82" s="2">
        <v>1581.64</v>
      </c>
      <c r="G82" s="2">
        <v>1581.64</v>
      </c>
      <c r="H82" s="2">
        <v>1581.64</v>
      </c>
    </row>
    <row r="83" spans="1:8">
      <c r="A83" s="1"/>
      <c r="B83" s="1"/>
      <c r="C83" s="1"/>
      <c r="D83" s="1"/>
      <c r="E83" s="5" t="s">
        <v>659</v>
      </c>
      <c r="F83" s="2">
        <v>89.68</v>
      </c>
      <c r="G83" s="2">
        <v>89.68</v>
      </c>
      <c r="H83" s="2">
        <v>89.68</v>
      </c>
    </row>
    <row r="84" spans="1:8">
      <c r="A84" s="1"/>
      <c r="B84" s="1"/>
      <c r="C84" s="1"/>
      <c r="D84" s="1"/>
      <c r="E84" s="5" t="s">
        <v>660</v>
      </c>
      <c r="F84" s="2">
        <v>18.63</v>
      </c>
      <c r="G84" s="2">
        <v>18.63</v>
      </c>
      <c r="H84" s="2">
        <v>18.63</v>
      </c>
    </row>
    <row r="85" spans="1:8">
      <c r="A85" s="1"/>
      <c r="B85" s="1"/>
      <c r="C85" s="1"/>
      <c r="D85" s="1"/>
      <c r="E85" s="5" t="s">
        <v>661</v>
      </c>
      <c r="F85" s="2">
        <v>84.44</v>
      </c>
      <c r="G85" s="2">
        <v>84.44</v>
      </c>
      <c r="H85" s="2">
        <v>84.44</v>
      </c>
    </row>
    <row r="86" spans="1:8">
      <c r="A86" s="1"/>
      <c r="B86" s="1"/>
      <c r="C86" s="1"/>
      <c r="D86" s="1"/>
      <c r="E86" s="5" t="s">
        <v>662</v>
      </c>
      <c r="F86" s="2">
        <v>200</v>
      </c>
      <c r="G86" s="2">
        <v>200</v>
      </c>
      <c r="H86" s="2">
        <v>200</v>
      </c>
    </row>
    <row r="87" spans="1:8">
      <c r="A87" s="1"/>
      <c r="B87" s="1"/>
      <c r="C87" s="1"/>
      <c r="D87" s="1"/>
      <c r="E87" s="5" t="s">
        <v>663</v>
      </c>
      <c r="F87" s="2">
        <v>20.37</v>
      </c>
      <c r="G87" s="2">
        <v>20.37</v>
      </c>
      <c r="H87" s="2">
        <v>20.37</v>
      </c>
    </row>
    <row r="88" spans="1:8">
      <c r="A88" s="1"/>
      <c r="B88" s="1"/>
      <c r="C88" s="1"/>
      <c r="D88" s="1"/>
      <c r="E88" s="5" t="s">
        <v>664</v>
      </c>
      <c r="F88" s="2">
        <v>145.74</v>
      </c>
      <c r="G88" s="2">
        <v>145.74</v>
      </c>
      <c r="H88" s="2">
        <v>145.74</v>
      </c>
    </row>
    <row r="89" spans="1:8">
      <c r="A89" s="1"/>
      <c r="B89" s="1"/>
      <c r="C89" s="1"/>
      <c r="D89" s="1"/>
      <c r="E89" s="5" t="s">
        <v>665</v>
      </c>
      <c r="F89" s="2">
        <v>150</v>
      </c>
      <c r="G89" s="2">
        <v>150</v>
      </c>
      <c r="H89" s="2">
        <v>150</v>
      </c>
    </row>
    <row r="90" spans="1:8">
      <c r="A90" s="1"/>
      <c r="B90" s="1"/>
      <c r="C90" s="1"/>
      <c r="D90" s="1"/>
      <c r="E90" s="5" t="s">
        <v>666</v>
      </c>
      <c r="F90" s="2">
        <v>35.58</v>
      </c>
      <c r="G90" s="2">
        <v>35.58</v>
      </c>
      <c r="H90" s="2">
        <v>35.58</v>
      </c>
    </row>
    <row r="91" spans="1:8">
      <c r="A91" s="1"/>
      <c r="B91" s="1"/>
      <c r="C91" s="1"/>
      <c r="D91" s="1"/>
      <c r="E91" s="5" t="s">
        <v>667</v>
      </c>
      <c r="F91" s="2">
        <v>72</v>
      </c>
      <c r="G91" s="2">
        <v>72</v>
      </c>
      <c r="H91" s="2">
        <v>72</v>
      </c>
    </row>
    <row r="92" spans="1:8">
      <c r="A92" s="1"/>
      <c r="B92" s="1"/>
      <c r="C92" s="1"/>
      <c r="D92" s="1"/>
      <c r="E92" s="5" t="s">
        <v>668</v>
      </c>
      <c r="F92" s="2">
        <v>17.850000000000001</v>
      </c>
      <c r="G92" s="2">
        <v>17.850000000000001</v>
      </c>
      <c r="H92" s="2">
        <v>17.850000000000001</v>
      </c>
    </row>
    <row r="93" spans="1:8">
      <c r="A93" s="1"/>
      <c r="B93" s="1"/>
      <c r="C93" s="1"/>
      <c r="D93" s="1"/>
      <c r="E93" s="5" t="s">
        <v>669</v>
      </c>
      <c r="F93" s="2">
        <v>252.82</v>
      </c>
      <c r="G93" s="2">
        <v>252.82</v>
      </c>
      <c r="H93" s="2">
        <v>252.82</v>
      </c>
    </row>
    <row r="94" spans="1:8">
      <c r="A94" s="1"/>
      <c r="B94" s="1"/>
      <c r="C94" s="1"/>
      <c r="D94" s="1"/>
      <c r="E94" s="5" t="s">
        <v>670</v>
      </c>
      <c r="F94" s="2">
        <v>150</v>
      </c>
      <c r="G94" s="2">
        <v>150</v>
      </c>
      <c r="H94" s="2">
        <v>150</v>
      </c>
    </row>
    <row r="95" spans="1:8">
      <c r="A95" s="1"/>
      <c r="B95" s="1"/>
      <c r="C95" s="1"/>
      <c r="D95" s="1"/>
      <c r="E95" s="5" t="s">
        <v>671</v>
      </c>
      <c r="F95" s="2">
        <v>5100</v>
      </c>
      <c r="G95" s="2">
        <v>5100</v>
      </c>
      <c r="H95" s="2">
        <v>5100</v>
      </c>
    </row>
    <row r="96" spans="1:8">
      <c r="A96" s="1"/>
      <c r="B96" s="1"/>
      <c r="C96" s="1"/>
      <c r="D96" s="1"/>
      <c r="E96" s="5" t="s">
        <v>672</v>
      </c>
      <c r="F96" s="2">
        <v>100</v>
      </c>
      <c r="G96" s="2">
        <v>100</v>
      </c>
      <c r="H96" s="2">
        <v>100</v>
      </c>
    </row>
    <row r="97" spans="1:8">
      <c r="A97" s="1"/>
      <c r="B97" s="1"/>
      <c r="C97" s="1"/>
      <c r="D97" s="1"/>
      <c r="E97" s="5" t="s">
        <v>673</v>
      </c>
      <c r="F97" s="2">
        <v>475.4</v>
      </c>
      <c r="G97" s="2">
        <v>475.4</v>
      </c>
      <c r="H97" s="2">
        <v>475.4</v>
      </c>
    </row>
    <row r="98" spans="1:8">
      <c r="A98" s="1"/>
      <c r="B98" s="1"/>
      <c r="C98" s="1"/>
      <c r="D98" s="1"/>
      <c r="E98" s="5" t="s">
        <v>674</v>
      </c>
      <c r="F98" s="2">
        <v>20.58</v>
      </c>
      <c r="G98" s="2">
        <v>20.58</v>
      </c>
      <c r="H98" s="2">
        <v>20.58</v>
      </c>
    </row>
    <row r="99" spans="1:8">
      <c r="A99" s="1"/>
      <c r="B99" s="1"/>
      <c r="C99" s="1"/>
      <c r="D99" s="1"/>
      <c r="E99" s="5" t="s">
        <v>675</v>
      </c>
      <c r="F99" s="2">
        <v>198</v>
      </c>
      <c r="G99" s="2">
        <v>198</v>
      </c>
      <c r="H99" s="2">
        <v>198</v>
      </c>
    </row>
    <row r="100" spans="1:8">
      <c r="A100" s="1"/>
      <c r="B100" s="1"/>
      <c r="C100" s="1"/>
      <c r="D100" s="1"/>
      <c r="E100" s="5" t="s">
        <v>676</v>
      </c>
      <c r="F100" s="2">
        <v>136.41</v>
      </c>
      <c r="G100" s="2">
        <v>136.41</v>
      </c>
      <c r="H100" s="2">
        <v>136.41</v>
      </c>
    </row>
    <row r="101" spans="1:8">
      <c r="A101" s="1"/>
      <c r="B101" s="1"/>
      <c r="C101" s="1"/>
      <c r="D101" s="1"/>
      <c r="E101" s="5" t="s">
        <v>677</v>
      </c>
      <c r="F101" s="2">
        <v>9.6999999999999993</v>
      </c>
      <c r="G101" s="2">
        <v>9.6999999999999993</v>
      </c>
      <c r="H101" s="2">
        <v>9.6999999999999993</v>
      </c>
    </row>
    <row r="102" spans="1:8">
      <c r="A102" s="1"/>
      <c r="B102" s="1"/>
      <c r="C102" s="1"/>
      <c r="D102" s="1"/>
      <c r="E102" s="5" t="s">
        <v>678</v>
      </c>
      <c r="F102" s="2">
        <v>415.34</v>
      </c>
      <c r="G102" s="2">
        <v>415.34</v>
      </c>
      <c r="H102" s="2">
        <v>415.34</v>
      </c>
    </row>
    <row r="103" spans="1:8">
      <c r="A103" s="1"/>
      <c r="B103" s="1"/>
      <c r="C103" s="1"/>
      <c r="D103" s="1"/>
      <c r="E103" s="5" t="s">
        <v>679</v>
      </c>
      <c r="F103" s="2">
        <v>10</v>
      </c>
      <c r="G103" s="2">
        <v>10</v>
      </c>
      <c r="H103" s="2">
        <v>10</v>
      </c>
    </row>
    <row r="104" spans="1:8">
      <c r="A104" s="1"/>
      <c r="B104" s="1"/>
      <c r="C104" s="1"/>
      <c r="D104" s="1"/>
      <c r="E104" s="5" t="s">
        <v>680</v>
      </c>
      <c r="F104" s="2">
        <v>200</v>
      </c>
      <c r="G104" s="2">
        <v>200</v>
      </c>
      <c r="H104" s="2">
        <v>200</v>
      </c>
    </row>
    <row r="105" spans="1:8">
      <c r="A105" s="1"/>
      <c r="B105" s="1"/>
      <c r="C105" s="1"/>
      <c r="D105" s="1"/>
      <c r="E105" s="5" t="s">
        <v>681</v>
      </c>
      <c r="F105" s="2">
        <v>52.61</v>
      </c>
      <c r="G105" s="2">
        <v>52.61</v>
      </c>
      <c r="H105" s="2">
        <v>52.61</v>
      </c>
    </row>
    <row r="106" spans="1:8">
      <c r="A106" s="1"/>
      <c r="B106" s="1"/>
      <c r="C106" s="1"/>
      <c r="D106" s="1"/>
      <c r="E106" s="5" t="s">
        <v>682</v>
      </c>
      <c r="F106" s="2">
        <v>0.13</v>
      </c>
      <c r="G106" s="2">
        <v>0.13</v>
      </c>
      <c r="H106" s="2">
        <v>0.13</v>
      </c>
    </row>
    <row r="107" spans="1:8">
      <c r="A107" s="1"/>
      <c r="B107" s="1"/>
      <c r="C107" s="1"/>
      <c r="D107" s="1"/>
      <c r="E107" s="5" t="s">
        <v>683</v>
      </c>
      <c r="F107" s="2">
        <v>29.58</v>
      </c>
      <c r="G107" s="2">
        <v>29.58</v>
      </c>
      <c r="H107" s="2">
        <v>29.58</v>
      </c>
    </row>
    <row r="108" spans="1:8">
      <c r="A108" s="1"/>
      <c r="B108" s="1"/>
      <c r="C108" s="1"/>
      <c r="D108" s="1"/>
      <c r="E108" s="5" t="s">
        <v>684</v>
      </c>
      <c r="F108" s="2">
        <v>150</v>
      </c>
      <c r="G108" s="2">
        <v>150</v>
      </c>
      <c r="H108" s="2">
        <v>150</v>
      </c>
    </row>
    <row r="109" spans="1:8">
      <c r="A109" s="1"/>
      <c r="B109" s="1"/>
      <c r="C109" s="1"/>
      <c r="D109" s="1"/>
      <c r="E109" s="5" t="s">
        <v>685</v>
      </c>
      <c r="F109" s="2">
        <v>75</v>
      </c>
      <c r="G109" s="2">
        <v>75</v>
      </c>
      <c r="H109" s="2">
        <v>75</v>
      </c>
    </row>
    <row r="110" spans="1:8">
      <c r="A110" s="1"/>
      <c r="B110" s="1"/>
      <c r="C110" s="1"/>
      <c r="D110" s="1"/>
      <c r="E110" s="5" t="s">
        <v>686</v>
      </c>
      <c r="F110" s="2">
        <v>106.52</v>
      </c>
      <c r="G110" s="2">
        <v>106.52</v>
      </c>
      <c r="H110" s="2">
        <v>106.52</v>
      </c>
    </row>
    <row r="111" spans="1:8">
      <c r="A111" s="1"/>
      <c r="B111" s="1"/>
      <c r="C111" s="1"/>
      <c r="D111" s="1"/>
      <c r="E111" s="5" t="s">
        <v>687</v>
      </c>
      <c r="F111" s="2">
        <v>122.1</v>
      </c>
      <c r="G111" s="2">
        <v>122.1</v>
      </c>
      <c r="H111" s="2">
        <v>122.1</v>
      </c>
    </row>
    <row r="112" spans="1:8">
      <c r="A112" s="1"/>
      <c r="B112" s="1"/>
      <c r="C112" s="1"/>
      <c r="D112" s="1"/>
      <c r="E112" s="5" t="s">
        <v>688</v>
      </c>
      <c r="F112" s="2">
        <v>13</v>
      </c>
      <c r="G112" s="2">
        <v>13</v>
      </c>
      <c r="H112" s="2">
        <v>13</v>
      </c>
    </row>
    <row r="113" spans="1:8">
      <c r="A113" s="1"/>
      <c r="B113" s="1"/>
      <c r="C113" s="1"/>
      <c r="D113" s="1"/>
      <c r="E113" s="5" t="s">
        <v>689</v>
      </c>
      <c r="F113" s="2">
        <v>208.55</v>
      </c>
      <c r="G113" s="2">
        <v>208.55</v>
      </c>
      <c r="H113" s="2">
        <v>208.55</v>
      </c>
    </row>
    <row r="114" spans="1:8">
      <c r="A114" s="1"/>
      <c r="B114" s="1"/>
      <c r="C114" s="1"/>
      <c r="D114" s="1"/>
      <c r="E114" s="5" t="s">
        <v>690</v>
      </c>
      <c r="F114" s="2">
        <v>150</v>
      </c>
      <c r="G114" s="2">
        <v>150</v>
      </c>
      <c r="H114" s="2">
        <v>150</v>
      </c>
    </row>
    <row r="115" spans="1:8">
      <c r="A115" s="1"/>
      <c r="B115" s="1"/>
      <c r="C115" s="1"/>
      <c r="D115" s="1"/>
      <c r="E115" s="5" t="s">
        <v>691</v>
      </c>
      <c r="F115" s="2">
        <v>44.56</v>
      </c>
      <c r="G115" s="2">
        <v>44.56</v>
      </c>
      <c r="H115" s="2">
        <v>44.56</v>
      </c>
    </row>
    <row r="116" spans="1:8">
      <c r="A116" s="1"/>
      <c r="B116" s="1"/>
      <c r="C116" s="1"/>
      <c r="D116" s="1"/>
      <c r="E116" s="5" t="s">
        <v>692</v>
      </c>
      <c r="F116" s="2">
        <v>75.66</v>
      </c>
      <c r="G116" s="2">
        <v>75.66</v>
      </c>
      <c r="H116" s="2">
        <v>75.66</v>
      </c>
    </row>
    <row r="117" spans="1:8">
      <c r="A117" s="1"/>
      <c r="B117" s="1"/>
      <c r="C117" s="1"/>
      <c r="D117" s="1"/>
      <c r="E117" s="5" t="s">
        <v>693</v>
      </c>
      <c r="F117" s="2">
        <v>72.5</v>
      </c>
      <c r="G117" s="2">
        <v>72.5</v>
      </c>
      <c r="H117" s="2">
        <v>72.5</v>
      </c>
    </row>
    <row r="118" spans="1:8">
      <c r="A118" s="1"/>
      <c r="B118" s="1"/>
      <c r="C118" s="1"/>
      <c r="D118" s="1"/>
      <c r="E118" s="5" t="s">
        <v>694</v>
      </c>
      <c r="F118" s="2">
        <v>200</v>
      </c>
      <c r="G118" s="2">
        <v>200</v>
      </c>
      <c r="H118" s="2">
        <v>200</v>
      </c>
    </row>
    <row r="119" spans="1:8">
      <c r="A119" s="1"/>
      <c r="B119" s="1"/>
      <c r="C119" s="1"/>
      <c r="D119" s="1"/>
      <c r="E119" s="5" t="s">
        <v>695</v>
      </c>
      <c r="F119" s="2">
        <v>445.06</v>
      </c>
      <c r="G119" s="2">
        <v>445.06</v>
      </c>
      <c r="H119" s="2">
        <v>445.06</v>
      </c>
    </row>
    <row r="120" spans="1:8">
      <c r="A120" s="1"/>
      <c r="B120" s="1"/>
      <c r="C120" s="1"/>
      <c r="D120" s="1"/>
      <c r="E120" s="5" t="s">
        <v>696</v>
      </c>
      <c r="F120" s="2">
        <v>17.850000000000001</v>
      </c>
      <c r="G120" s="2">
        <v>17.850000000000001</v>
      </c>
      <c r="H120" s="2">
        <v>17.850000000000001</v>
      </c>
    </row>
    <row r="121" spans="1:8">
      <c r="A121" s="1"/>
      <c r="B121" s="1"/>
      <c r="C121" s="1"/>
      <c r="D121" s="1"/>
      <c r="E121" s="5" t="s">
        <v>697</v>
      </c>
      <c r="F121" s="2">
        <v>56.15</v>
      </c>
      <c r="G121" s="2">
        <v>56.15</v>
      </c>
      <c r="H121" s="2">
        <v>56.15</v>
      </c>
    </row>
    <row r="122" spans="1:8">
      <c r="A122" s="1"/>
      <c r="B122" s="1"/>
      <c r="C122" s="1"/>
      <c r="D122" s="1"/>
      <c r="E122" s="5" t="s">
        <v>698</v>
      </c>
      <c r="F122" s="2">
        <v>830</v>
      </c>
      <c r="G122" s="2">
        <v>830</v>
      </c>
      <c r="H122" s="2">
        <v>830</v>
      </c>
    </row>
    <row r="123" spans="1:8">
      <c r="A123" s="1"/>
      <c r="B123" s="1"/>
      <c r="C123" s="1"/>
      <c r="D123" s="1"/>
      <c r="E123" s="5" t="s">
        <v>699</v>
      </c>
      <c r="F123" s="2">
        <v>37</v>
      </c>
      <c r="G123" s="2">
        <v>37</v>
      </c>
      <c r="H123" s="2">
        <v>37</v>
      </c>
    </row>
    <row r="124" spans="1:8">
      <c r="A124" s="1"/>
      <c r="B124" s="1"/>
      <c r="C124" s="1"/>
      <c r="D124" s="1"/>
      <c r="E124" s="5" t="s">
        <v>700</v>
      </c>
      <c r="F124" s="2">
        <v>179.85</v>
      </c>
      <c r="G124" s="2">
        <v>179.85</v>
      </c>
      <c r="H124" s="2">
        <v>179.85</v>
      </c>
    </row>
    <row r="125" spans="1:8">
      <c r="A125" s="1"/>
      <c r="B125" s="1"/>
      <c r="C125" s="1"/>
      <c r="D125" s="1"/>
      <c r="E125" s="5" t="s">
        <v>701</v>
      </c>
      <c r="F125" s="2">
        <v>150</v>
      </c>
      <c r="G125" s="2">
        <v>150</v>
      </c>
      <c r="H125" s="2">
        <v>150</v>
      </c>
    </row>
    <row r="126" spans="1:8">
      <c r="A126" s="1"/>
      <c r="B126" s="1"/>
      <c r="C126" s="1"/>
      <c r="D126" s="1"/>
      <c r="E126" s="5" t="s">
        <v>702</v>
      </c>
      <c r="F126" s="2">
        <v>18</v>
      </c>
      <c r="G126" s="2">
        <v>18</v>
      </c>
      <c r="H126" s="2">
        <v>18</v>
      </c>
    </row>
    <row r="127" spans="1:8">
      <c r="A127" s="1"/>
      <c r="B127" s="1"/>
      <c r="C127" s="1"/>
      <c r="D127" s="1"/>
      <c r="E127" s="5" t="s">
        <v>703</v>
      </c>
      <c r="F127" s="2">
        <v>182.79</v>
      </c>
      <c r="G127" s="2">
        <v>182.79</v>
      </c>
      <c r="H127" s="2">
        <v>182.79</v>
      </c>
    </row>
    <row r="128" spans="1:8">
      <c r="A128" s="1"/>
      <c r="B128" s="1"/>
      <c r="C128" s="1"/>
      <c r="D128" s="1"/>
      <c r="E128" s="5" t="s">
        <v>704</v>
      </c>
      <c r="F128" s="2">
        <v>470.29</v>
      </c>
      <c r="G128" s="2">
        <v>470.29</v>
      </c>
      <c r="H128" s="2">
        <v>470.29</v>
      </c>
    </row>
    <row r="129" spans="1:8">
      <c r="A129" s="1"/>
      <c r="B129" s="1"/>
      <c r="C129" s="1"/>
      <c r="D129" s="1"/>
      <c r="E129" s="5" t="s">
        <v>705</v>
      </c>
      <c r="F129" s="2">
        <v>59.5</v>
      </c>
      <c r="G129" s="2">
        <v>59.5</v>
      </c>
      <c r="H129" s="2">
        <v>59.5</v>
      </c>
    </row>
    <row r="130" spans="1:8">
      <c r="A130" s="1"/>
      <c r="B130" s="1"/>
      <c r="C130" s="1"/>
      <c r="D130" s="1"/>
      <c r="E130" s="5" t="s">
        <v>706</v>
      </c>
      <c r="F130" s="2">
        <v>13.5</v>
      </c>
      <c r="G130" s="2">
        <v>13.5</v>
      </c>
      <c r="H130" s="2">
        <v>13.5</v>
      </c>
    </row>
    <row r="131" spans="1:8">
      <c r="A131" s="1"/>
      <c r="B131" s="1"/>
      <c r="C131" s="1"/>
      <c r="D131" s="1"/>
      <c r="E131" s="5" t="s">
        <v>707</v>
      </c>
      <c r="F131" s="2">
        <v>33.58</v>
      </c>
      <c r="G131" s="2">
        <v>33.58</v>
      </c>
      <c r="H131" s="2">
        <v>33.58</v>
      </c>
    </row>
    <row r="132" spans="1:8">
      <c r="A132" s="1"/>
      <c r="B132" s="1"/>
      <c r="C132" s="1"/>
      <c r="D132" s="1"/>
      <c r="E132" s="5" t="s">
        <v>708</v>
      </c>
      <c r="F132" s="2">
        <v>14.99</v>
      </c>
      <c r="G132" s="2">
        <v>14.99</v>
      </c>
      <c r="H132" s="2">
        <v>14.99</v>
      </c>
    </row>
    <row r="133" spans="1:8">
      <c r="A133" s="1"/>
      <c r="B133" s="1"/>
      <c r="C133" s="1"/>
      <c r="D133" s="1"/>
      <c r="E133" s="5" t="s">
        <v>709</v>
      </c>
      <c r="F133" s="2">
        <v>21</v>
      </c>
      <c r="G133" s="2">
        <v>21</v>
      </c>
      <c r="H133" s="2">
        <v>21</v>
      </c>
    </row>
    <row r="134" spans="1:8">
      <c r="A134" s="1"/>
      <c r="B134" s="1"/>
      <c r="C134" s="1"/>
      <c r="D134" s="1"/>
      <c r="E134" s="5" t="s">
        <v>710</v>
      </c>
      <c r="F134" s="2">
        <v>50</v>
      </c>
      <c r="G134" s="2">
        <v>50</v>
      </c>
      <c r="H134" s="2">
        <v>50</v>
      </c>
    </row>
    <row r="135" spans="1:8">
      <c r="A135" s="1"/>
      <c r="B135" s="1"/>
      <c r="C135" s="1"/>
      <c r="D135" s="1"/>
      <c r="E135" s="5" t="s">
        <v>711</v>
      </c>
      <c r="F135" s="2">
        <v>63.76</v>
      </c>
      <c r="G135" s="2">
        <v>63.76</v>
      </c>
      <c r="H135" s="2">
        <v>63.76</v>
      </c>
    </row>
    <row r="136" spans="1:8">
      <c r="A136" s="1"/>
      <c r="B136" s="1"/>
      <c r="C136" s="1"/>
      <c r="D136" s="1"/>
      <c r="E136" s="5" t="s">
        <v>712</v>
      </c>
      <c r="F136" s="2">
        <v>407.79</v>
      </c>
      <c r="G136" s="2">
        <v>407.79</v>
      </c>
      <c r="H136" s="2">
        <v>407.79</v>
      </c>
    </row>
    <row r="137" spans="1:8">
      <c r="A137" s="1"/>
      <c r="B137" s="1"/>
      <c r="C137" s="1"/>
      <c r="D137" s="1"/>
      <c r="E137" s="5" t="s">
        <v>713</v>
      </c>
      <c r="F137" s="2">
        <v>30.42</v>
      </c>
      <c r="G137" s="2">
        <v>30.42</v>
      </c>
      <c r="H137" s="2">
        <v>30.42</v>
      </c>
    </row>
    <row r="138" spans="1:8">
      <c r="A138" s="1"/>
      <c r="B138" s="1"/>
      <c r="C138" s="1"/>
      <c r="D138" s="1"/>
      <c r="E138" s="5" t="s">
        <v>714</v>
      </c>
      <c r="F138" s="2">
        <v>289.45999999999998</v>
      </c>
      <c r="G138" s="2">
        <v>289.45999999999998</v>
      </c>
      <c r="H138" s="2">
        <v>289.45999999999998</v>
      </c>
    </row>
    <row r="139" spans="1:8">
      <c r="A139" s="1"/>
      <c r="B139" s="1"/>
      <c r="C139" s="1"/>
      <c r="D139" s="1"/>
      <c r="E139" s="5" t="s">
        <v>715</v>
      </c>
      <c r="F139" s="2">
        <v>93</v>
      </c>
      <c r="G139" s="2">
        <v>93</v>
      </c>
      <c r="H139" s="2">
        <v>93</v>
      </c>
    </row>
    <row r="140" spans="1:8">
      <c r="A140" s="1"/>
      <c r="B140" s="1"/>
      <c r="C140" s="1"/>
      <c r="D140" s="1"/>
      <c r="E140" s="5" t="s">
        <v>716</v>
      </c>
      <c r="F140" s="2">
        <v>5005.2299999999996</v>
      </c>
      <c r="G140" s="2">
        <v>5005.2299999999996</v>
      </c>
      <c r="H140" s="2">
        <v>5005.2299999999996</v>
      </c>
    </row>
    <row r="141" spans="1:8">
      <c r="A141" s="1"/>
      <c r="B141" s="1"/>
      <c r="C141" s="1"/>
      <c r="D141" s="1"/>
      <c r="E141" s="5" t="s">
        <v>717</v>
      </c>
      <c r="F141" s="2">
        <v>131.49</v>
      </c>
      <c r="G141" s="2">
        <v>131.49</v>
      </c>
      <c r="H141" s="2">
        <v>131.49</v>
      </c>
    </row>
    <row r="142" spans="1:8">
      <c r="A142" s="1"/>
      <c r="B142" s="1"/>
      <c r="C142" s="1"/>
      <c r="D142" s="1"/>
      <c r="E142" s="5" t="s">
        <v>718</v>
      </c>
      <c r="F142" s="2">
        <v>17.850000000000001</v>
      </c>
      <c r="G142" s="2">
        <v>17.850000000000001</v>
      </c>
      <c r="H142" s="2">
        <v>17.850000000000001</v>
      </c>
    </row>
    <row r="143" spans="1:8">
      <c r="A143" s="1"/>
      <c r="B143" s="1"/>
      <c r="C143" s="1"/>
      <c r="D143" s="1"/>
      <c r="E143" s="5" t="s">
        <v>719</v>
      </c>
      <c r="F143" s="2">
        <v>458</v>
      </c>
      <c r="G143" s="2">
        <v>458</v>
      </c>
      <c r="H143" s="2">
        <v>458</v>
      </c>
    </row>
    <row r="144" spans="1:8">
      <c r="A144" s="1"/>
      <c r="B144" s="1"/>
      <c r="C144" s="1"/>
      <c r="D144" s="1"/>
      <c r="E144" s="5" t="s">
        <v>720</v>
      </c>
      <c r="F144" s="2">
        <v>177.28</v>
      </c>
      <c r="G144" s="2">
        <v>177.28</v>
      </c>
      <c r="H144" s="2">
        <v>177.28</v>
      </c>
    </row>
    <row r="145" spans="1:8">
      <c r="A145" s="1"/>
      <c r="B145" s="1"/>
      <c r="C145" s="1"/>
      <c r="D145" s="1"/>
      <c r="E145" s="5" t="s">
        <v>721</v>
      </c>
      <c r="F145" s="2">
        <v>30</v>
      </c>
      <c r="G145" s="2">
        <v>30</v>
      </c>
      <c r="H145" s="2">
        <v>30</v>
      </c>
    </row>
    <row r="146" spans="1:8">
      <c r="A146" s="1"/>
      <c r="B146" s="1"/>
      <c r="C146" s="1"/>
      <c r="D146" s="1"/>
      <c r="E146" s="5" t="s">
        <v>722</v>
      </c>
      <c r="F146" s="2">
        <v>11.9</v>
      </c>
      <c r="G146" s="2">
        <v>11.9</v>
      </c>
      <c r="H146" s="2">
        <v>11.9</v>
      </c>
    </row>
    <row r="147" spans="1:8">
      <c r="A147" s="1"/>
      <c r="B147" s="1"/>
      <c r="C147" s="1"/>
      <c r="D147" s="1"/>
      <c r="E147" s="5" t="s">
        <v>723</v>
      </c>
      <c r="F147" s="2">
        <v>24.01</v>
      </c>
      <c r="G147" s="2">
        <v>24.01</v>
      </c>
      <c r="H147" s="2">
        <v>24.01</v>
      </c>
    </row>
    <row r="148" spans="1:8">
      <c r="A148" s="1"/>
      <c r="B148" s="1"/>
      <c r="C148" s="1"/>
      <c r="D148" s="1"/>
      <c r="E148" s="5" t="s">
        <v>724</v>
      </c>
      <c r="F148" s="2">
        <v>200</v>
      </c>
      <c r="G148" s="2">
        <v>200</v>
      </c>
      <c r="H148" s="2">
        <v>200</v>
      </c>
    </row>
    <row r="149" spans="1:8">
      <c r="A149" s="1"/>
      <c r="B149" s="1"/>
      <c r="C149" s="1"/>
      <c r="D149" s="1"/>
      <c r="E149" s="5" t="s">
        <v>725</v>
      </c>
      <c r="F149" s="2">
        <v>3900</v>
      </c>
      <c r="G149" s="2">
        <v>3900</v>
      </c>
      <c r="H149" s="2">
        <v>3900</v>
      </c>
    </row>
    <row r="150" spans="1:8">
      <c r="A150" s="1"/>
      <c r="B150" s="1"/>
      <c r="C150" s="1"/>
      <c r="D150" s="1"/>
      <c r="E150" s="5" t="s">
        <v>726</v>
      </c>
      <c r="F150" s="2">
        <v>13.5</v>
      </c>
      <c r="G150" s="2">
        <v>13.5</v>
      </c>
      <c r="H150" s="2">
        <v>13.5</v>
      </c>
    </row>
    <row r="151" spans="1:8">
      <c r="A151" s="1"/>
      <c r="B151" s="1"/>
      <c r="C151" s="1"/>
      <c r="D151" s="1"/>
      <c r="E151" s="5" t="s">
        <v>727</v>
      </c>
      <c r="F151" s="2">
        <v>2090</v>
      </c>
      <c r="G151" s="2">
        <v>2090</v>
      </c>
      <c r="H151" s="2">
        <v>2090</v>
      </c>
    </row>
    <row r="152" spans="1:8">
      <c r="A152" s="1"/>
      <c r="B152" s="1"/>
      <c r="C152" s="1"/>
      <c r="D152" s="1"/>
      <c r="E152" s="5" t="s">
        <v>728</v>
      </c>
      <c r="F152" s="2">
        <v>145.97</v>
      </c>
      <c r="G152" s="2">
        <v>145.97</v>
      </c>
      <c r="H152" s="2">
        <v>145.97</v>
      </c>
    </row>
    <row r="153" spans="1:8">
      <c r="A153" s="1"/>
      <c r="B153" s="1"/>
      <c r="C153" s="1"/>
      <c r="D153" s="1"/>
      <c r="E153" s="5" t="s">
        <v>729</v>
      </c>
      <c r="F153" s="2">
        <v>144.47999999999999</v>
      </c>
      <c r="G153" s="2">
        <v>144.47999999999999</v>
      </c>
      <c r="H153" s="2">
        <v>144.47999999999999</v>
      </c>
    </row>
    <row r="154" spans="1:8">
      <c r="A154" s="1"/>
      <c r="B154" s="1"/>
      <c r="C154" s="1"/>
      <c r="D154" s="1"/>
      <c r="E154" s="5" t="s">
        <v>730</v>
      </c>
      <c r="F154" s="2">
        <v>12</v>
      </c>
      <c r="G154" s="2">
        <v>12</v>
      </c>
      <c r="H154" s="2">
        <v>12</v>
      </c>
    </row>
    <row r="155" spans="1:8">
      <c r="A155" s="1"/>
      <c r="B155" s="1"/>
      <c r="C155" s="1"/>
      <c r="D155" s="1"/>
      <c r="E155" s="5" t="s">
        <v>731</v>
      </c>
      <c r="F155" s="2">
        <v>285.60000000000002</v>
      </c>
      <c r="G155" s="2">
        <v>285.60000000000002</v>
      </c>
      <c r="H155" s="2">
        <v>285.60000000000002</v>
      </c>
    </row>
    <row r="156" spans="1:8">
      <c r="A156" s="1"/>
      <c r="B156" s="1"/>
      <c r="C156" s="1"/>
      <c r="D156" s="1"/>
      <c r="E156" s="5" t="s">
        <v>732</v>
      </c>
      <c r="F156" s="2">
        <v>149.97999999999999</v>
      </c>
      <c r="G156" s="2">
        <v>149.97999999999999</v>
      </c>
      <c r="H156" s="2">
        <v>149.97999999999999</v>
      </c>
    </row>
    <row r="157" spans="1:8">
      <c r="A157" s="1"/>
      <c r="B157" s="1"/>
      <c r="C157" s="1"/>
      <c r="D157" s="1"/>
      <c r="E157" s="5" t="s">
        <v>733</v>
      </c>
      <c r="F157" s="2">
        <v>103.69</v>
      </c>
      <c r="G157" s="2">
        <v>103.69</v>
      </c>
      <c r="H157" s="2">
        <v>103.69</v>
      </c>
    </row>
    <row r="158" spans="1:8">
      <c r="A158" s="1"/>
      <c r="B158" s="1"/>
      <c r="C158" s="1"/>
      <c r="D158" s="1"/>
      <c r="E158" s="5" t="s">
        <v>734</v>
      </c>
      <c r="F158" s="2">
        <v>85</v>
      </c>
      <c r="G158" s="2">
        <v>85</v>
      </c>
      <c r="H158" s="2">
        <v>85</v>
      </c>
    </row>
    <row r="159" spans="1:8">
      <c r="A159" s="1"/>
      <c r="B159" s="1"/>
      <c r="C159" s="1"/>
      <c r="D159" s="1"/>
      <c r="E159" s="5" t="s">
        <v>735</v>
      </c>
      <c r="F159" s="2">
        <v>9.52</v>
      </c>
      <c r="G159" s="2">
        <v>9.52</v>
      </c>
      <c r="H159" s="2">
        <v>9.52</v>
      </c>
    </row>
    <row r="160" spans="1:8">
      <c r="A160" s="1"/>
      <c r="B160" s="1"/>
      <c r="C160" s="1"/>
      <c r="D160" s="1"/>
      <c r="E160" s="5" t="s">
        <v>736</v>
      </c>
      <c r="F160" s="2">
        <v>56</v>
      </c>
      <c r="G160" s="2">
        <v>56</v>
      </c>
      <c r="H160" s="2">
        <v>56</v>
      </c>
    </row>
    <row r="161" spans="1:8">
      <c r="A161" s="1"/>
      <c r="B161" s="1"/>
      <c r="C161" s="1"/>
      <c r="D161" s="1"/>
      <c r="E161" s="5" t="s">
        <v>737</v>
      </c>
      <c r="F161" s="2">
        <v>446.83</v>
      </c>
      <c r="G161" s="2">
        <v>446.83</v>
      </c>
      <c r="H161" s="2">
        <v>446.83</v>
      </c>
    </row>
    <row r="162" spans="1:8">
      <c r="A162" s="1"/>
      <c r="B162" s="1"/>
      <c r="C162" s="1"/>
      <c r="D162" s="1"/>
      <c r="E162" s="5" t="s">
        <v>738</v>
      </c>
      <c r="F162" s="2">
        <v>17.850000000000001</v>
      </c>
      <c r="G162" s="2">
        <v>17.850000000000001</v>
      </c>
      <c r="H162" s="2">
        <v>17.850000000000001</v>
      </c>
    </row>
    <row r="163" spans="1:8">
      <c r="A163" s="1"/>
      <c r="B163" s="1"/>
      <c r="C163" s="1"/>
      <c r="D163" s="1"/>
      <c r="E163" s="5" t="s">
        <v>739</v>
      </c>
      <c r="F163" s="2">
        <v>26.39</v>
      </c>
      <c r="G163" s="2">
        <v>26.39</v>
      </c>
      <c r="H163" s="2">
        <v>26.39</v>
      </c>
    </row>
    <row r="164" spans="1:8">
      <c r="A164" s="1"/>
      <c r="B164" s="1"/>
      <c r="C164" s="1"/>
      <c r="D164" s="1"/>
      <c r="E164" s="5" t="s">
        <v>740</v>
      </c>
      <c r="F164" s="2">
        <v>49.76</v>
      </c>
      <c r="G164" s="2">
        <v>49.76</v>
      </c>
      <c r="H164" s="2">
        <v>49.76</v>
      </c>
    </row>
    <row r="165" spans="1:8">
      <c r="A165" s="1"/>
      <c r="B165" s="1"/>
      <c r="C165" s="1"/>
      <c r="D165" s="1"/>
      <c r="E165" s="5" t="s">
        <v>741</v>
      </c>
      <c r="F165" s="2">
        <v>29.9</v>
      </c>
      <c r="G165" s="2">
        <v>29.9</v>
      </c>
      <c r="H165" s="2">
        <v>29.9</v>
      </c>
    </row>
    <row r="166" spans="1:8">
      <c r="A166" s="1"/>
      <c r="B166" s="1"/>
      <c r="C166" s="1"/>
      <c r="D166" s="1"/>
      <c r="E166" s="5" t="s">
        <v>742</v>
      </c>
      <c r="F166" s="2">
        <v>133.28</v>
      </c>
      <c r="G166" s="2">
        <v>133.28</v>
      </c>
      <c r="H166" s="2">
        <v>133.28</v>
      </c>
    </row>
    <row r="167" spans="1:8">
      <c r="A167" s="1"/>
      <c r="B167" s="1"/>
      <c r="C167" s="1"/>
      <c r="D167" s="1"/>
      <c r="E167" s="5" t="s">
        <v>743</v>
      </c>
      <c r="F167" s="2">
        <v>149.97999999999999</v>
      </c>
      <c r="G167" s="2">
        <v>149.97999999999999</v>
      </c>
      <c r="H167" s="2">
        <v>149.97999999999999</v>
      </c>
    </row>
    <row r="168" spans="1:8">
      <c r="A168" s="1"/>
      <c r="B168" s="1"/>
      <c r="C168" s="1"/>
      <c r="D168" s="1"/>
      <c r="E168" s="5" t="s">
        <v>744</v>
      </c>
      <c r="F168" s="2">
        <v>200</v>
      </c>
      <c r="G168" s="2">
        <v>200</v>
      </c>
      <c r="H168" s="2">
        <v>200</v>
      </c>
    </row>
    <row r="169" spans="1:8">
      <c r="A169" s="1"/>
      <c r="B169" s="1"/>
      <c r="C169" s="1"/>
      <c r="D169" s="1"/>
      <c r="E169" s="5" t="s">
        <v>745</v>
      </c>
      <c r="F169" s="2">
        <v>35</v>
      </c>
      <c r="G169" s="2">
        <v>35</v>
      </c>
      <c r="H169" s="2">
        <v>35</v>
      </c>
    </row>
    <row r="170" spans="1:8">
      <c r="A170" s="1"/>
      <c r="B170" s="1"/>
      <c r="C170" s="1"/>
      <c r="D170" s="1"/>
      <c r="E170" s="5" t="s">
        <v>746</v>
      </c>
      <c r="F170" s="2">
        <v>29.9</v>
      </c>
      <c r="G170" s="2">
        <v>29.9</v>
      </c>
      <c r="H170" s="2">
        <v>29.9</v>
      </c>
    </row>
    <row r="171" spans="1:8">
      <c r="A171" s="1"/>
      <c r="B171" s="1"/>
      <c r="C171" s="1"/>
      <c r="D171" s="1"/>
      <c r="E171" s="5" t="s">
        <v>747</v>
      </c>
      <c r="F171" s="2">
        <v>27.74</v>
      </c>
      <c r="G171" s="2">
        <v>27.74</v>
      </c>
      <c r="H171" s="2">
        <v>27.74</v>
      </c>
    </row>
    <row r="172" spans="1:8">
      <c r="A172" s="1"/>
      <c r="B172" s="1"/>
      <c r="C172" s="1"/>
      <c r="D172" s="1"/>
      <c r="E172" s="5" t="s">
        <v>748</v>
      </c>
      <c r="F172" s="2">
        <v>54.93</v>
      </c>
      <c r="G172" s="2">
        <v>54.93</v>
      </c>
      <c r="H172" s="2">
        <v>54.93</v>
      </c>
    </row>
    <row r="173" spans="1:8">
      <c r="A173" s="1"/>
      <c r="B173" s="1"/>
      <c r="C173" s="1"/>
      <c r="D173" s="1"/>
      <c r="E173" s="5" t="s">
        <v>749</v>
      </c>
      <c r="F173" s="2">
        <v>29.75</v>
      </c>
      <c r="G173" s="2">
        <v>29.75</v>
      </c>
      <c r="H173" s="2">
        <v>29.75</v>
      </c>
    </row>
    <row r="174" spans="1:8">
      <c r="A174" s="1"/>
      <c r="B174" s="1"/>
      <c r="C174" s="1"/>
      <c r="D174" s="1"/>
      <c r="E174" s="5" t="s">
        <v>750</v>
      </c>
      <c r="F174" s="2">
        <v>59.95</v>
      </c>
      <c r="G174" s="2">
        <v>59.95</v>
      </c>
      <c r="H174" s="2">
        <v>59.95</v>
      </c>
    </row>
    <row r="175" spans="1:8">
      <c r="A175" s="1"/>
      <c r="B175" s="1"/>
      <c r="C175" s="1"/>
      <c r="D175" s="1"/>
      <c r="E175" s="5" t="s">
        <v>751</v>
      </c>
      <c r="F175" s="2">
        <v>150</v>
      </c>
      <c r="G175" s="2">
        <v>150</v>
      </c>
      <c r="H175" s="2">
        <v>150</v>
      </c>
    </row>
    <row r="176" spans="1:8">
      <c r="A176" s="1"/>
      <c r="B176" s="1"/>
      <c r="C176" s="1"/>
      <c r="D176" s="1"/>
      <c r="E176" s="5" t="s">
        <v>752</v>
      </c>
      <c r="F176" s="2">
        <v>4</v>
      </c>
      <c r="G176" s="2">
        <v>4</v>
      </c>
      <c r="H176" s="2">
        <v>4</v>
      </c>
    </row>
    <row r="177" spans="1:8">
      <c r="A177" s="1"/>
      <c r="B177" s="1"/>
      <c r="C177" s="1"/>
      <c r="D177" s="1"/>
      <c r="E177" s="5" t="s">
        <v>753</v>
      </c>
      <c r="F177" s="2">
        <v>13</v>
      </c>
      <c r="G177" s="2">
        <v>13</v>
      </c>
      <c r="H177" s="2">
        <v>13</v>
      </c>
    </row>
    <row r="178" spans="1:8">
      <c r="A178" s="1"/>
      <c r="B178" s="1"/>
      <c r="C178" s="1"/>
      <c r="D178" s="1"/>
      <c r="E178" s="5" t="s">
        <v>754</v>
      </c>
      <c r="F178" s="2">
        <v>33.97</v>
      </c>
      <c r="G178" s="2">
        <v>33.97</v>
      </c>
      <c r="H178" s="2">
        <v>33.97</v>
      </c>
    </row>
    <row r="179" spans="1:8">
      <c r="A179" s="1"/>
      <c r="B179" s="1"/>
      <c r="C179" s="1"/>
      <c r="D179" s="1"/>
      <c r="E179" s="5" t="s">
        <v>755</v>
      </c>
      <c r="F179" s="2">
        <v>1242.3599999999999</v>
      </c>
      <c r="G179" s="2">
        <v>1242.3599999999999</v>
      </c>
      <c r="H179" s="2">
        <v>1242.3599999999999</v>
      </c>
    </row>
    <row r="180" spans="1:8">
      <c r="A180" s="1"/>
      <c r="B180" s="1"/>
      <c r="C180" s="1"/>
      <c r="D180" s="1"/>
      <c r="E180" s="5" t="s">
        <v>756</v>
      </c>
      <c r="F180" s="2">
        <v>17.850000000000001</v>
      </c>
      <c r="G180" s="2">
        <v>17.850000000000001</v>
      </c>
      <c r="H180" s="2">
        <v>17.850000000000001</v>
      </c>
    </row>
    <row r="181" spans="1:8">
      <c r="A181" s="1"/>
      <c r="B181" s="1"/>
      <c r="C181" s="1"/>
      <c r="D181" s="1"/>
      <c r="E181" s="5" t="s">
        <v>757</v>
      </c>
      <c r="F181" s="2">
        <v>58</v>
      </c>
      <c r="G181" s="2">
        <v>58</v>
      </c>
      <c r="H181" s="2">
        <v>58</v>
      </c>
    </row>
    <row r="182" spans="1:8">
      <c r="A182" s="1"/>
      <c r="B182" s="1"/>
      <c r="C182" s="1"/>
      <c r="D182" s="1"/>
      <c r="E182" s="5" t="s">
        <v>758</v>
      </c>
      <c r="F182" s="2">
        <v>131.9</v>
      </c>
      <c r="G182" s="2">
        <v>131.9</v>
      </c>
      <c r="H182" s="2">
        <v>131.9</v>
      </c>
    </row>
    <row r="183" spans="1:8">
      <c r="A183" s="1"/>
      <c r="B183" s="1"/>
      <c r="C183" s="9" t="s">
        <v>169</v>
      </c>
      <c r="D183" s="7"/>
      <c r="E183" s="7"/>
      <c r="F183" s="8">
        <v>-100963.67</v>
      </c>
      <c r="G183" s="8">
        <v>-36499.26</v>
      </c>
      <c r="H183" s="8">
        <v>13500.74</v>
      </c>
    </row>
  </sheetData>
  <pageMargins left="0.7" right="0.7" top="0.75" bottom="0.75" header="0.3" footer="0.3"/>
  <pageSetup paperSize="9" orientation="portrait" verticalDpi="0" r:id="rId1"/>
  <customProperties>
    <customPr name="_pios_id" r:id="rId2"/>
    <customPr name="CofWorksheetType" r:id="rId3"/>
  </customPropertie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Application xmlns="http://www.sap.com/cof/excel/application">
  <Version>2</Version>
  <Revision>2.8.1000.96894</Revision>
</Application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DC8BCBCB-2DA7-410E-BD92-EEACE574B6FE}"/>
</file>

<file path=customXml/itemProps2.xml><?xml version="1.0" encoding="utf-8"?>
<ds:datastoreItem xmlns:ds="http://schemas.openxmlformats.org/officeDocument/2006/customXml" ds:itemID="{467FB5AF-9014-4550-BE7E-9247430AE443}"/>
</file>

<file path=customXml/itemProps3.xml><?xml version="1.0" encoding="utf-8"?>
<ds:datastoreItem xmlns:ds="http://schemas.openxmlformats.org/officeDocument/2006/customXml" ds:itemID="{221AFC32-7641-482B-AC4F-330266BDD056}"/>
</file>

<file path=customXml/itemProps4.xml><?xml version="1.0" encoding="utf-8"?>
<ds:datastoreItem xmlns:ds="http://schemas.openxmlformats.org/officeDocument/2006/customXml" ds:itemID="{869EEE8B-92BB-4E4C-A5AA-530E360A46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Wei</dc:creator>
  <cp:keywords/>
  <dc:description/>
  <cp:lastModifiedBy>Wang, Wei</cp:lastModifiedBy>
  <cp:revision/>
  <dcterms:created xsi:type="dcterms:W3CDTF">2022-05-24T09:08:45Z</dcterms:created>
  <dcterms:modified xsi:type="dcterms:W3CDTF">2022-05-25T08:35:14Z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0b37f-db72-473e-ae54-fb16df408069_Enabled">
    <vt:lpwstr>true</vt:lpwstr>
  </property>
  <property fmtid="{D5CDD505-2E9C-101B-9397-08002B2CF9AE}" pid="3" name="MSIP_Label_b020b37f-db72-473e-ae54-fb16df408069_SetDate">
    <vt:lpwstr>2022-05-24T09:08:46Z</vt:lpwstr>
  </property>
  <property fmtid="{D5CDD505-2E9C-101B-9397-08002B2CF9AE}" pid="4" name="MSIP_Label_b020b37f-db72-473e-ae54-fb16df408069_Method">
    <vt:lpwstr>Standard</vt:lpwstr>
  </property>
  <property fmtid="{D5CDD505-2E9C-101B-9397-08002B2CF9AE}" pid="5" name="MSIP_Label_b020b37f-db72-473e-ae54-fb16df408069_Name">
    <vt:lpwstr>General</vt:lpwstr>
  </property>
  <property fmtid="{D5CDD505-2E9C-101B-9397-08002B2CF9AE}" pid="6" name="MSIP_Label_b020b37f-db72-473e-ae54-fb16df408069_SiteId">
    <vt:lpwstr>705d07a3-2eea-4f3b-ab59-65ca29abeb26</vt:lpwstr>
  </property>
  <property fmtid="{D5CDD505-2E9C-101B-9397-08002B2CF9AE}" pid="7" name="MSIP_Label_b020b37f-db72-473e-ae54-fb16df408069_ActionId">
    <vt:lpwstr>07bd4387-8a0f-4c2d-b540-8d286721bd0a</vt:lpwstr>
  </property>
  <property fmtid="{D5CDD505-2E9C-101B-9397-08002B2CF9AE}" pid="8" name="MSIP_Label_b020b37f-db72-473e-ae54-fb16df408069_ContentBits">
    <vt:lpwstr>0</vt:lpwstr>
  </property>
  <property fmtid="{D5CDD505-2E9C-101B-9397-08002B2CF9AE}" pid="9" name="CustomUiType">
    <vt:lpwstr>2</vt:lpwstr>
  </property>
  <property fmtid="{D5CDD505-2E9C-101B-9397-08002B2CF9AE}" pid="10" name="ContentTypeId">
    <vt:lpwstr>0x010100EA691DA1475FED40816A34A9887BD419</vt:lpwstr>
  </property>
</Properties>
</file>