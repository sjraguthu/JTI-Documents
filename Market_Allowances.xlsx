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ivotTables/pivotTable1.xml" ContentType="application/vnd.openxmlformats-officedocument.spreadsheetml.pivotTable+xml"/>
  <Override PartName="/xl/printerSettings/printerSettings4.bin" ContentType="application/vnd.openxmlformats-officedocument.spreadsheetml.printerSettings"/>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ntrolling_Profitability_Analysis/"/>
    </mc:Choice>
  </mc:AlternateContent>
  <xr:revisionPtr revIDLastSave="22" documentId="8_{073D832D-BEA0-468D-9045-9DEFCD4E1842}" xr6:coauthVersionLast="41" xr6:coauthVersionMax="41" xr10:uidLastSave="{7D5C9B8D-FBA8-4A21-8A00-3DE12FE576E9}"/>
  <bookViews>
    <workbookView xWindow="-120" yWindow="-120" windowWidth="29040" windowHeight="15840" tabRatio="951" activeTab="1" xr2:uid="{00000000-000D-0000-FFFF-FFFF00000000}"/>
  </bookViews>
  <sheets>
    <sheet name="Version" sheetId="16" r:id="rId1"/>
    <sheet name="Master List" sheetId="2" r:id="rId2"/>
    <sheet name="JTIO and Mat Groups" sheetId="14" r:id="rId3"/>
    <sheet name="Allowances Examples" sheetId="15" r:id="rId4"/>
    <sheet name="SD - 2017" sheetId="5" state="hidden" r:id="rId5"/>
    <sheet name="Pivot Rec" sheetId="13" state="hidden" r:id="rId6"/>
    <sheet name="SD, SKU Detail" sheetId="9" state="hidden" r:id="rId7"/>
  </sheets>
  <externalReferences>
    <externalReference r:id="rId8"/>
  </externalReferences>
  <definedNames>
    <definedName name="_xlnm._FilterDatabase" localSheetId="3" hidden="1">'Allowances Examples'!$A$1:$E$197</definedName>
    <definedName name="_xlnm._FilterDatabase" localSheetId="1" hidden="1">'Master List'!$A$1:$W$599</definedName>
    <definedName name="_xlnm.Print_Area" localSheetId="3">'Allowances Examples'!$A$1:$E$197</definedName>
    <definedName name="_xlnm.Print_Area" localSheetId="2">'JTIO and Mat Groups'!$B$1:$J$17</definedName>
  </definedNames>
  <calcPr calcId="191029" calcMode="manual"/>
  <pivotCaches>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06" i="2" l="1"/>
  <c r="K5" i="9" l="1"/>
  <c r="N5" i="9"/>
  <c r="H7" i="9"/>
  <c r="K7" i="9" s="1"/>
  <c r="K10" i="9" s="1"/>
  <c r="L7" i="9"/>
  <c r="L10" i="9" s="1"/>
  <c r="F10" i="9"/>
  <c r="I10" i="9"/>
  <c r="N10" i="9"/>
  <c r="O10" i="9"/>
  <c r="L12" i="9"/>
  <c r="L15" i="9" s="1"/>
  <c r="O12" i="9"/>
  <c r="O15" i="9" s="1"/>
  <c r="F15" i="9"/>
  <c r="H15" i="9"/>
  <c r="I15" i="9"/>
  <c r="K15" i="9"/>
  <c r="N15" i="9"/>
  <c r="D21" i="9"/>
  <c r="F21" i="9"/>
  <c r="H21" i="9"/>
  <c r="I21" i="9"/>
  <c r="K21" i="9"/>
  <c r="L21" i="9"/>
  <c r="N21" i="9"/>
  <c r="O21" i="9"/>
  <c r="E16" i="13"/>
  <c r="D15" i="13"/>
  <c r="D17" i="13"/>
  <c r="C15" i="13"/>
  <c r="E15" i="13"/>
  <c r="F15" i="13"/>
  <c r="D16" i="13"/>
  <c r="E17" i="13"/>
  <c r="F16" i="13"/>
  <c r="E18" i="13"/>
  <c r="C17" i="13"/>
  <c r="C16" i="13"/>
  <c r="H10" i="9" l="1"/>
  <c r="G18" i="13"/>
  <c r="D19" i="13"/>
  <c r="G16" i="13"/>
  <c r="G15" i="13"/>
  <c r="C19" i="13"/>
  <c r="E19" i="13"/>
  <c r="B7" i="2"/>
  <c r="G19" i="13" l="1"/>
  <c r="F19" i="13"/>
  <c r="F17" i="13" s="1"/>
  <c r="B8" i="2"/>
  <c r="B9" i="2" s="1"/>
  <c r="B10" i="2" s="1"/>
  <c r="B11" i="2" s="1"/>
  <c r="B12" i="2" s="1"/>
  <c r="B13" i="2" s="1"/>
  <c r="B14" i="2" s="1"/>
  <c r="B15" i="2" s="1"/>
  <c r="B16" i="2" s="1"/>
  <c r="B17" i="2" s="1"/>
  <c r="C48" i="5"/>
  <c r="C47" i="5"/>
  <c r="C46" i="5"/>
  <c r="C45"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N4" i="5"/>
  <c r="N3" i="5"/>
  <c r="C49" i="5" l="1"/>
  <c r="E48" i="5" s="1"/>
  <c r="E47" i="5" l="1"/>
  <c r="E45" i="5"/>
  <c r="E46" i="5"/>
</calcChain>
</file>

<file path=xl/sharedStrings.xml><?xml version="1.0" encoding="utf-8"?>
<sst xmlns="http://schemas.openxmlformats.org/spreadsheetml/2006/main" count="9773" uniqueCount="1526">
  <si>
    <t>Market</t>
  </si>
  <si>
    <t>Company Code</t>
  </si>
  <si>
    <t>Allowance Type</t>
  </si>
  <si>
    <t>Detailed Description</t>
  </si>
  <si>
    <t>Beneficiary</t>
  </si>
  <si>
    <t>Current JTIO</t>
  </si>
  <si>
    <t>Current P&amp;L Line (Auto)</t>
  </si>
  <si>
    <t>New
JTIO</t>
  </si>
  <si>
    <t>SD or non-SD</t>
  </si>
  <si>
    <t>New P&amp;L Line</t>
  </si>
  <si>
    <t>SD</t>
  </si>
  <si>
    <t>Non-SD</t>
  </si>
  <si>
    <t>Product
(Type &amp; Brand)</t>
  </si>
  <si>
    <t>GSC SKU</t>
  </si>
  <si>
    <t>Customer</t>
  </si>
  <si>
    <t>Reasoning for new JTIO selection</t>
  </si>
  <si>
    <t>Tax category</t>
  </si>
  <si>
    <t>Tax category description</t>
  </si>
  <si>
    <t>Without Tax</t>
  </si>
  <si>
    <t>New 6-digits Alternative GL account, if required</t>
  </si>
  <si>
    <t>New Alternative GL account description, only if "New" is selected as alternative account</t>
  </si>
  <si>
    <t>Russia</t>
  </si>
  <si>
    <t>Distributor</t>
  </si>
  <si>
    <t>307015 Distribution allowance</t>
  </si>
  <si>
    <t>341508 Distributor / Wholesaler / Freight allowances - Non-SD</t>
  </si>
  <si>
    <t>new</t>
  </si>
  <si>
    <t>Retailer</t>
  </si>
  <si>
    <t>502450 BTLTrade/MerchAllowShelfAllowShelfSpaceFee</t>
  </si>
  <si>
    <t>351100 Listing / Slotting / Visibility Fees</t>
  </si>
  <si>
    <t>502455 BTLTrade/MerchAllowShelfAllowDistributionMaintFee</t>
  </si>
  <si>
    <t>351500 Sales/Marketing Information Systems</t>
  </si>
  <si>
    <t>Wholesaler</t>
  </si>
  <si>
    <t>Ireland</t>
  </si>
  <si>
    <t>Trade Reward Agreements</t>
  </si>
  <si>
    <t xml:space="preserve">Volume target based performance program settled with cash </t>
  </si>
  <si>
    <t>308011 Trade Allowance booked outside SD</t>
  </si>
  <si>
    <t>Trade Allowances</t>
  </si>
  <si>
    <t>351400 Retail Allowances</t>
  </si>
  <si>
    <t>N/A</t>
  </si>
  <si>
    <t>Marketing Allowances</t>
  </si>
  <si>
    <t xml:space="preserve">Incentive paid to retailer where a service is being provided (sales) </t>
  </si>
  <si>
    <t>*</t>
  </si>
  <si>
    <t>Explanation</t>
  </si>
  <si>
    <t>Yes</t>
  </si>
  <si>
    <t>Pricing Discounts</t>
  </si>
  <si>
    <t>This is promotional / strategic price discounting provided to the final consumers, allowing them to get products at a reduced price (it is not price discounting to the retailer)</t>
  </si>
  <si>
    <t>End Consumer</t>
  </si>
  <si>
    <t>308010 Trade Allowance</t>
  </si>
  <si>
    <t>341100 Consumer allowances - SD</t>
  </si>
  <si>
    <t>Price Allowances</t>
  </si>
  <si>
    <t>Incentive paid to retailer however final beneficiary is the end consumer who can purchase the product at a discounted price</t>
  </si>
  <si>
    <t>341108 Consumer allowances - Non-SD</t>
  </si>
  <si>
    <t>Sales Information</t>
  </si>
  <si>
    <t>Agreements with retailer on which they agree to provide us with POS data</t>
  </si>
  <si>
    <t>Incentive paid to retailer for the provision of POS data</t>
  </si>
  <si>
    <t>Review</t>
  </si>
  <si>
    <t>OK</t>
  </si>
  <si>
    <t>306010</t>
  </si>
  <si>
    <t>306015</t>
  </si>
  <si>
    <t>307010</t>
  </si>
  <si>
    <t>307016</t>
  </si>
  <si>
    <t>308010</t>
  </si>
  <si>
    <t>308020</t>
  </si>
  <si>
    <t>308021</t>
  </si>
  <si>
    <t>308031</t>
  </si>
  <si>
    <t>309010</t>
  </si>
  <si>
    <t>310010</t>
  </si>
  <si>
    <t>313010</t>
  </si>
  <si>
    <t>Entity</t>
  </si>
  <si>
    <t>Cash Discount</t>
  </si>
  <si>
    <t>Cash Discount Other</t>
  </si>
  <si>
    <t>Freight Allowance</t>
  </si>
  <si>
    <t>Dist Commisions</t>
  </si>
  <si>
    <t>Trade Allowance</t>
  </si>
  <si>
    <t>TITP Allowance</t>
  </si>
  <si>
    <t>TITP Allow Adj</t>
  </si>
  <si>
    <t>Sales Allowance Manu</t>
  </si>
  <si>
    <t>Spoiled / Damaged</t>
  </si>
  <si>
    <t>Consumer Allowance</t>
  </si>
  <si>
    <t>Trade Discount Other</t>
  </si>
  <si>
    <t>Total</t>
  </si>
  <si>
    <t>Italy</t>
  </si>
  <si>
    <t>Iberia</t>
  </si>
  <si>
    <t>Germany</t>
  </si>
  <si>
    <t>France</t>
  </si>
  <si>
    <t>Taiwan</t>
  </si>
  <si>
    <t>Canada</t>
  </si>
  <si>
    <t>UK</t>
  </si>
  <si>
    <t>Poland</t>
  </si>
  <si>
    <t>Switzerland</t>
  </si>
  <si>
    <t>Sub-Saharan Africa</t>
  </si>
  <si>
    <t>Benelux</t>
  </si>
  <si>
    <t>Turkey</t>
  </si>
  <si>
    <t>RoMoBu</t>
  </si>
  <si>
    <t>USA</t>
  </si>
  <si>
    <t>SEA</t>
  </si>
  <si>
    <t>Philippines</t>
  </si>
  <si>
    <t>Tanzania</t>
  </si>
  <si>
    <t>WWDF</t>
  </si>
  <si>
    <t>Denmark</t>
  </si>
  <si>
    <t>Global Functions</t>
  </si>
  <si>
    <t>Sweden</t>
  </si>
  <si>
    <t>Korea</t>
  </si>
  <si>
    <t>Count</t>
  </si>
  <si>
    <t>Value</t>
  </si>
  <si>
    <t>&gt;$5MM</t>
  </si>
  <si>
    <t>MM</t>
  </si>
  <si>
    <t>$1MM - $5MM</t>
  </si>
  <si>
    <t>$0.1MM - $1MM</t>
  </si>
  <si>
    <t>&lt;$0.1MM</t>
  </si>
  <si>
    <t>Baltics</t>
  </si>
  <si>
    <t>Factory Market</t>
  </si>
  <si>
    <t>Hungary</t>
  </si>
  <si>
    <t>RRP</t>
  </si>
  <si>
    <t>Wholesale Partnership Program</t>
  </si>
  <si>
    <t>Reward program based on fulfillment of certain conditions by wholesalers (data access, cash payment etc.)</t>
  </si>
  <si>
    <t>306010 Cash Discount</t>
  </si>
  <si>
    <t>341500 Distributor / Wholesaler / Freight allowances - SD</t>
  </si>
  <si>
    <t>Allowance paid to wholesaler</t>
  </si>
  <si>
    <t>Other Sales Allowances</t>
  </si>
  <si>
    <t>Distribution Allowances</t>
  </si>
  <si>
    <t>Wholesale Partnership Program (Manual Adjustments)</t>
  </si>
  <si>
    <t>306015 Cash discount other</t>
  </si>
  <si>
    <t>Retail Contracts (RDBC) Performance</t>
  </si>
  <si>
    <t>Incentive paid to a retailer as a reward for meeting certain performance criteria (does not make tobacco products visible)</t>
  </si>
  <si>
    <t>Allowance paid to retailer, no service provided (performance based)</t>
  </si>
  <si>
    <t>Retail Contracts (RDBC) Service</t>
  </si>
  <si>
    <t>Incentive paid to a retailer as a reward for providing certain services (does not make tobacco products visible)</t>
  </si>
  <si>
    <t>Allowance paid to retailer for service. Does not make product visible, does not relate to POPM</t>
  </si>
  <si>
    <t>Drystock Fee</t>
  </si>
  <si>
    <t>Service fee for wholesaler to process returns</t>
  </si>
  <si>
    <t>TITP</t>
  </si>
  <si>
    <t>Revenue reduction for TITP related goods used to offset amounts included within gross sales</t>
  </si>
  <si>
    <t>308020 Trade Incentive Tob Prod Allowance</t>
  </si>
  <si>
    <t>341400 TITP allowances - SD</t>
  </si>
  <si>
    <t>Volume Growth Programs (Cash)</t>
  </si>
  <si>
    <t>Volume target based performance program for retailers settled with cash</t>
  </si>
  <si>
    <t>Allowance paid to retailer, no service provided</t>
  </si>
  <si>
    <t>Volume Growth Programs (Giftcards)</t>
  </si>
  <si>
    <t>Volume target based performance program for retailers settled with gift vouchers (required to be identified separately for tax purposes)</t>
  </si>
  <si>
    <t>502555 BTLTrade/MerchAllowBusDvlp/GrowthIncentDistrGains</t>
  </si>
  <si>
    <t>Second account required for sales tax treatment of gift cards</t>
  </si>
  <si>
    <t>Inventory Service Programs (ISP) / Margin Play</t>
  </si>
  <si>
    <t>Reward program to ensure the availability of the product in retailers</t>
  </si>
  <si>
    <t>HoReCa Contracts</t>
  </si>
  <si>
    <t>Advantage PLUS loyalty program (Cash)</t>
  </si>
  <si>
    <t>Reward points which retailers can redeem for cash</t>
  </si>
  <si>
    <t>Advantage PLUS loyalty program (Giftcards)</t>
  </si>
  <si>
    <t>Reward points which retailers can redeem for giftcards (required to be identified separately for tax purposes)</t>
  </si>
  <si>
    <t>Second account required for sales tax treatment of gift cards (same account as row 16)</t>
  </si>
  <si>
    <t>any tax code is allowed</t>
  </si>
  <si>
    <t>Sales Adjustments / Returns</t>
  </si>
  <si>
    <t>Ukraine</t>
  </si>
  <si>
    <t>Listing / Slotting / Visibility Fees</t>
  </si>
  <si>
    <t>JTI pays a third party who in turn buy and transfer non-cash items to retailers. The purpose is to maintain merchandising standards, stock and trade loyalty in Retail.</t>
  </si>
  <si>
    <t>501605 BTLTradePromTradeDirAppeal PrgmsTradeIncentives</t>
  </si>
  <si>
    <t>Loyalty programs for retailers which are redeemable for non-cash items distributed by a third party and then reimbursed by JTI.</t>
  </si>
  <si>
    <t>-</t>
  </si>
  <si>
    <t>only tax codes with “Input Tax” category is allowed.</t>
  </si>
  <si>
    <t>No</t>
  </si>
  <si>
    <t>Contracts with HoReCa accounts on which we agree to pay a fee in order to have products placed on their shelves. The main purpose of the contracts is to increase numbers of SKUs and JTI volume. Contracts are annual or multi-year agreements.</t>
  </si>
  <si>
    <t>502250 BTLTrade/MerchAllowancesPOPMPlcmnt-Non-PermIndoor</t>
  </si>
  <si>
    <t>Fees paid to a retailers (HoReCa) relating to increase JTI product visibility.</t>
  </si>
  <si>
    <t>Contracts with General Trade accounts on which we agree to pay a fee in order to have products placed on their shelves. The main purpose of the contracts is to increase numbers of SKUs and JTI volume. Contracts are annual or multi-year agreements.</t>
  </si>
  <si>
    <t>Fees paid to a retailers (General Trade) relating to increase JTI product visibility.</t>
  </si>
  <si>
    <t>Contracts with Key accounts on which we agree to pay a fee in order to have products placed on their shelves. The main purpose of the contracts is to increase numbers of SKUs and JTI volume. Contracts are annual or multi-year agreements.</t>
  </si>
  <si>
    <t>502500 BTLTrade/MerchAllowInStoreAllowDispl/POPMLocatnFee</t>
  </si>
  <si>
    <t>Fees paid to a retailers (Key Accounts) relating to increase JTI product visibility.</t>
  </si>
  <si>
    <t>DISTRIBUTION ALLOWANCE</t>
  </si>
  <si>
    <t>Current concept is in line the new</t>
  </si>
  <si>
    <t>For distribution allowance Ukraine market uses following procedure: 
1)  The Distributor’s discount is included in the price list to Distributor based on the Sales forecast on quarterly basis
Price list is uploaded to SAP, and the account 301010 “Sales to third parties – cigarettes” (JTIG GL 32020) reflects amount of Gross sales net of provided discount;
2) Each month, after the Sales are closed in SAP FP&amp;A group proceeds with the adjustment :
Cr 302098  “Sales manual CO-PA adjustment account” (JTIG 32020)
Dt 307015  “Distribution allowance” (JTIG 32920).
The nature of adjustment is to reflect correctly the total Gross Sales as well as to separate the Discount given to Distributor.</t>
  </si>
  <si>
    <t>Distribution</t>
  </si>
  <si>
    <t>Logista (the distributor) buys JTI Tobacco product and distributes them from Logista warehouses to the Tobacconist. JTI invoices to Logista the invoice price reduced by the distribution fee. Contractually agreed.</t>
  </si>
  <si>
    <t>307016 Distribution commissions</t>
  </si>
  <si>
    <t xml:space="preserve">Distribution service provider: Allowance type granted to distributor via SD </t>
  </si>
  <si>
    <t>307018 Distribution Commissions Manual Adjustment</t>
  </si>
  <si>
    <t>Distribution service provider:Allowance type granted to distributor via Non SD</t>
  </si>
  <si>
    <t>JTI pays Logista for orher logistical services (via PR/PO):
- Freight services to transfer JTI products between Logista warehouses
- Availibity fees to get JTI products in Logista restocking centers (emergency warehouses)</t>
  </si>
  <si>
    <t>Logistical service provider:Allowance type granted to distributor via Non SD</t>
  </si>
  <si>
    <t xml:space="preserve">Logista Stock revaluation (Contractually agreed): Whenever LOGISTA FRANCE records a capital gain (or a capital loss) on the stock in LOGISTA FRANCE’s Bonded Warehouses following a change in the Net Selling Price, the gain (or loss) recorded will be shared 50/50 between Logista and JTI.  </t>
  </si>
  <si>
    <t>Allowance type granted to distributor via Non SD (as per Logista distribution contract)</t>
  </si>
  <si>
    <t>Marketing</t>
  </si>
  <si>
    <t xml:space="preserve">Distributor information services - market data (Core + RRP):
- Sell-in data provided by Logista (Industry size, Sales by competitor, by segment, SoM…)
- Sell-out data at POS provided by Logista </t>
  </si>
  <si>
    <t>502010 BTLSalesInformationPurchasePOPDataPOPDataPurchas</t>
  </si>
  <si>
    <t xml:space="preserve">Marketing info provided by Logista (Distributor) : Allowance type granted to distributor </t>
  </si>
  <si>
    <t>Agreements with key accounts (indirect customers) on which they agree to provide JTI a set of data of consumer and sales information.</t>
  </si>
  <si>
    <t>Other</t>
  </si>
  <si>
    <t>Marketing info provided by indirect Key accounts : Allowance type granted to Key accounts</t>
  </si>
  <si>
    <t>On-line RRP products: Freight allowances given to customers as a discount (as a deduction of freight costs charged/invoiced to the end consumers).</t>
  </si>
  <si>
    <t>307010 Freight Allowance</t>
  </si>
  <si>
    <t>Price allowance granted and benefiting to the end-consumer.</t>
  </si>
  <si>
    <t xml:space="preserve">Retail RRP products: free products distributed by Atlantiq (distributor) to the retailers based on the orders (volume grid). A credit note is issued by JTI to Atlantiq. </t>
  </si>
  <si>
    <t>341408 TITP Allowances - Non-SD</t>
  </si>
  <si>
    <t>Free goods is considered as a credit item that can be applied against an amount owed to JTI: should be reported as TITP Allowances</t>
  </si>
  <si>
    <t>Discount</t>
  </si>
  <si>
    <t>On-line RRP products: amount given to customers as a discount.</t>
  </si>
  <si>
    <t>310010 Consumer Allowance</t>
  </si>
  <si>
    <t>Discount benefiting to the end consumer - to be reported as price allowances</t>
  </si>
  <si>
    <t>JTI pays Logista for other logistical services (via PR/PO):
- Damaged products / issue quality/ not selllable products</t>
  </si>
  <si>
    <t>341308 Sales/Returns allowances - Non-SD</t>
  </si>
  <si>
    <t>Faulty/damaged or missing goods should be reported a Sales returns according to "Decision tree tab"</t>
  </si>
  <si>
    <t>Singapore</t>
  </si>
  <si>
    <t>Thailand</t>
  </si>
  <si>
    <t>Vietnam</t>
  </si>
  <si>
    <t>Mongolia</t>
  </si>
  <si>
    <t>Tajikistan</t>
  </si>
  <si>
    <t>Finland</t>
  </si>
  <si>
    <t>Iceland</t>
  </si>
  <si>
    <t>Romania</t>
  </si>
  <si>
    <t>Shisha International</t>
  </si>
  <si>
    <t>South, East &amp; Central Africa</t>
  </si>
  <si>
    <t>Jordan and Palestine</t>
  </si>
  <si>
    <t>Kazakhstan</t>
  </si>
  <si>
    <t>Malaysia</t>
  </si>
  <si>
    <t>Middle-East</t>
  </si>
  <si>
    <t>Czech</t>
  </si>
  <si>
    <t>Greece</t>
  </si>
  <si>
    <t>Asia Pacific</t>
  </si>
  <si>
    <t>Austria</t>
  </si>
  <si>
    <t>Caucasus</t>
  </si>
  <si>
    <t>United Kingdom</t>
  </si>
  <si>
    <t>Adriatica</t>
  </si>
  <si>
    <t>Slovakia</t>
  </si>
  <si>
    <t>North Africa</t>
  </si>
  <si>
    <t>Trd distribution</t>
  </si>
  <si>
    <t>DSO - customers are managed through TME Lite. Payment is booked manually</t>
  </si>
  <si>
    <t>Trd incentives</t>
  </si>
  <si>
    <t>Incentive paid to Retailers to promote selling our product. Book manually.</t>
  </si>
  <si>
    <t>Trd listing</t>
  </si>
  <si>
    <t>Fee paid to Key Accounts for listing / displaying our products. Book manually.</t>
  </si>
  <si>
    <t>502570 BTLTradMerchAllowBusDvlGrowthIncentNewIntroListFee</t>
  </si>
  <si>
    <t>ConDirInentPriceDisc</t>
  </si>
  <si>
    <t>Price discounts provided to consumers via Retailers</t>
  </si>
  <si>
    <t>502660 BTLCons PromConsumer Dir AppealPriceDiscount</t>
  </si>
  <si>
    <t>RRP related commissions paid to Amazon and C-discount  based on achieved sales on respective Marketplaces.
Fullfillement costs paid  to Marketplaces for providing shipping services to end consummer.</t>
  </si>
  <si>
    <t>Free of charge cigarettes (FoC) are given to retailers as listing fees and to wholesalers as samples when new product is launched. Sales order type Z111 is maintained for such distributions. Posting generated in SAP: Cr Sales, Dr Trande allowances with result on Net Sales 0. Note: amount is column M is 2017 spending because FoC are not planned because of offset with Gross Sales</t>
  </si>
  <si>
    <t>Payment to trade (customers)for the introduction of a new brand or SKU.</t>
  </si>
  <si>
    <t>Payments to trade (customers)for maintaining JTIs planogram in a pre agreed position for a specified period.</t>
  </si>
  <si>
    <t>502505 BTLTrade/MerchAllowInStoreAllowPlanogramsfee</t>
  </si>
  <si>
    <t>Payments to trade (customers)to obtain a desired shelf space / shelf position for a specified period of time.</t>
  </si>
  <si>
    <t>Payments to trade (customers)for POP information collection and / or exchange (when can only be obtained from customer).</t>
  </si>
  <si>
    <t>Payments to trade (customers)for achieving individual pre-agreed volume growth objectives for JTI and/or its individual brands. PO is being opened for such expenses</t>
  </si>
  <si>
    <t>502550 BTLTrade/MerchAllowBusDvlp/GrowthIncentVolGrowth</t>
  </si>
  <si>
    <t>Payments to trade (customers)for achieving individual pre-agreed volume growth objectives for JTI and/or its individual brands. Manual calculation to Reitan (customer 1126751) based on orders placed during month. Discount is calculated as per rates stated in agreement</t>
  </si>
  <si>
    <t>Payments to trade (customers)for maintaining specific positions selected by JTI for Point of Placement Material for specified period. More than 12 month.
Also includes loyalty schemes for keeping POPM in place.</t>
  </si>
  <si>
    <t>351200 Trade POPMs Placement Fees - PERMANENT</t>
  </si>
  <si>
    <t>Payments to trade (customers)for maintaining specific positions selected by JTI for Point of Placement Material for specified period. Less than 12 month.
Also includes loyalty schemes for keeping POPM in place.</t>
  </si>
  <si>
    <t>351300 Trade POPMs Placement Fees - TEMPORARY</t>
  </si>
  <si>
    <t>Fee paid to Retailers for distributing are products from their central warehouse. Book manually.</t>
  </si>
  <si>
    <t/>
  </si>
  <si>
    <t>Distributor fees</t>
  </si>
  <si>
    <t xml:space="preserve">Fees paid to distributors to perform selling activities. They are usually $/Mstick and contractually agreed. This includes all the payments to distributors with the aim of maintaining a pre-defined margin </t>
  </si>
  <si>
    <t>Allowance to cover distribution costs measured in Rate per  M shipped.  (SD method is not applicable for Trade allowance posting as the entries are only applicable for IFRS ledger)</t>
  </si>
  <si>
    <t>Services provided by Distributor: Active Customer Base (ACB) Services</t>
  </si>
  <si>
    <t xml:space="preserve">Remuneration to Distributor for the rendered service as per Distribution Agreement. Active Customer Base (ACB) Service - Distributor has to achieve targets on share of sales to retailers in total Distributor's shipments
</t>
  </si>
  <si>
    <t>Distribution services</t>
  </si>
  <si>
    <t>Services provided by Distributor: Handling Services</t>
  </si>
  <si>
    <t>Remuneration to Distributor for the rendered service as per Distribution agreement. Handling Service - quantity of SKUs sold by Distributor to retailers excepting Key Accounts</t>
  </si>
  <si>
    <t>Services provided by Distributor: Information services</t>
  </si>
  <si>
    <t>1) Provision of data by Megapolis via data exchange system (Data-Exchange): 
- Sales volume of Megapolis by Clients, sales agents, SKU of JTI Goods, MRSP, branches, sub-branches, Cash&amp;Carry, distribution chains and POS
- Sales of Megapolis to National Key Accounts (in quantity and value according to agreed list).
2) Data concerning Subdistributors of Megapolis
3) Stocks of the Goods and Goods in transit on distributor warehouses
4) Megapolis Accounts Receivable in respect of sales of JTI Goods by distribution chains and clients 
5) Report on sales of Goods to Clients of Megapolis in monetary value by distribution chains and clients 
6) Stock of Goods on warehouses of wholesale operators (volume)
7) List of clients of Megapolis
8) Quantity as per Staff schedule of sales agents of all formats, drivers, supervisors of sales agents, total quantity  as per Staff schedule
9) Claims of Megapolis against carriers of JTI (status: paid/unpaid)
10) Quantity of POS visited (coverage of Megapolis), active customer base (ACB) of Distributor and Subdistributors 
11) Quantity of visits per day (plan and fact), average frequency of visits
12) Confirmation of Must SKUs of JTI
13) Share % of JTI product sales in total sales of distributor
14) Regional organization structure with contact details on key management positions 
15) Copies of financial and auditor's reports
16) Other information as per JTI request</t>
  </si>
  <si>
    <t>Basically the purpose of this service is not to obtain sales / marketing data, but to monitor  distributor's operation mode and financials. As per this service the Distributor is obliged to provide the data for the transparency of its and its clients' operations to JTI. Sales data is only the part of the service (to maintain data exchange system, see point 1) of detailed discription, cost of this is not clearly identifible).
Cost per year is around 1 $MM .</t>
  </si>
  <si>
    <t>Compensation given to distributor for projects realization</t>
  </si>
  <si>
    <t>Bonuses to trade, Drive Team (Field Force motivation), stock compensation, etc.</t>
  </si>
  <si>
    <t>Reimbursement of Distributor costs</t>
  </si>
  <si>
    <t>TITP allowances</t>
  </si>
  <si>
    <t>Revenue reduction, related to TITP distributed by Megapolis.</t>
  </si>
  <si>
    <t>302098 (Sales manual CO-PA adjustment account)</t>
  </si>
  <si>
    <t xml:space="preserve">Initially TITP is included within gross sales, then the offset is included as TITP allowance within allowances to ensure that the net sales is nil. </t>
  </si>
  <si>
    <t>Slotting / listing fees / Visibility fees</t>
  </si>
  <si>
    <t xml:space="preserve">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Contracts are annual or multi-year agreements. Retailer remuneration has fixed cost for agreed assortment, stock level compliance, out of stock elimination, JTI POSM placement and variable cost for minimum stock level (Pay for Service) </t>
  </si>
  <si>
    <t>Cash payment to customer for service which is not distinct from the sale of goods.</t>
  </si>
  <si>
    <t xml:space="preserve">Trade information program in Key Account </t>
  </si>
  <si>
    <t>Payment to retailers for information provided to consumers regarding JTI products, that supports visibility of product. Direct contracts with Key Accounts for Trade Information program</t>
  </si>
  <si>
    <t>Cash payment to retailer for service which is not distinct from the sale of goods.</t>
  </si>
  <si>
    <t>Consumer information / Sales information</t>
  </si>
  <si>
    <t>Agreements with retailers / key accounts on which they agree to provide us a set data of consumer and sales information.</t>
  </si>
  <si>
    <t>Consumer and sales information provided by retailer</t>
  </si>
  <si>
    <t>Fees paid to Key Accounts to allow SPIC to be in POSs.</t>
  </si>
  <si>
    <t>Fees paid to Key Accounts to allow JTI to provide shop information to customers (SPIC)</t>
  </si>
  <si>
    <t>Purpose is to increase visibility</t>
  </si>
  <si>
    <t>Festivals / Events exclusivity</t>
  </si>
  <si>
    <t>Agreements to sell exclusively JTI products in special events. JTI includes usually a cost related to exclusivity sales, to support the administrative/selling costs</t>
  </si>
  <si>
    <t xml:space="preserve">Money on mobile phones for consumers (cash payments portion) </t>
  </si>
  <si>
    <t>Money on mobile phones is transferred by the Agency (JTI reimburses this cost)</t>
  </si>
  <si>
    <t>End consumer</t>
  </si>
  <si>
    <t xml:space="preserve">As the consumers have to provide their contact details in order to receive the money on their mobile phones the underlying business reason for this cost mostly closely relates to the new sales/marketing information JTIO. </t>
  </si>
  <si>
    <t xml:space="preserve"> Program for Wholesalers ("Business Navigator")</t>
  </si>
  <si>
    <t>Compensation given to wholesalers for volume purchased from the distributor, shipment pattern, assotment, stock level compliance</t>
  </si>
  <si>
    <t>Compensation given to wholesalers.</t>
  </si>
  <si>
    <t>Distributor fees (RRP)</t>
  </si>
  <si>
    <t>Services provided by Retailer: E-commerce support (RRP sales)</t>
  </si>
  <si>
    <t>Service related to support of correct work of internet - shop, shop.logicvapes.ru</t>
  </si>
  <si>
    <t xml:space="preserve">The retailer provides services, contract with the retailer contains multiple aspects which are not easily distinguishable (technical support and RRP visibility increase).
</t>
  </si>
  <si>
    <t>Services provided by Retailer: Marketing Action  - free delivery (RRP sales)</t>
  </si>
  <si>
    <t>Free delivery to consumer arranged by E-commerce and reimbursed by JTI</t>
  </si>
  <si>
    <t>Incentive paid to a retailer as a reward for providing certain services</t>
  </si>
  <si>
    <t>Services provided by Retailer: Marketing Action  - discount to retail (RRP sales)</t>
  </si>
  <si>
    <t>Discount to retail price provided by E-commerce to consumer and reimbursed by JTI</t>
  </si>
  <si>
    <t>Compensation given to Retailer with the intention to reduce End Consumer selling price.</t>
  </si>
  <si>
    <t>TITP allowances (RRP)</t>
  </si>
  <si>
    <t>Revenue reduction, related to TITP distributed by Distributor/Retailer.</t>
  </si>
  <si>
    <t xml:space="preserve">Initially TITP is included within gross sales (account 301049 Sales to third party e-cigs adjustments), then the offset is included as TITP allowance within allowances to ensure that the net sales is nil. </t>
  </si>
  <si>
    <t xml:space="preserve">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t>
  </si>
  <si>
    <t>.0.0</t>
  </si>
  <si>
    <t>Payment for goods availability</t>
  </si>
  <si>
    <t xml:space="preserve">TAJIKISTAN: payment to trade for availability and listing of JTI products. Distributor makes payments to customers and then JTI compensates via discount in invoice price from JTI Kazakhstan </t>
  </si>
  <si>
    <t>Payment to trade for JTI products avaiability. KEY ISSUE: paid via discount on specific SKUs</t>
  </si>
  <si>
    <t>351108 Listing / Slotting / Visibility Fees Manual Adj</t>
  </si>
  <si>
    <t xml:space="preserve">Trading reward </t>
  </si>
  <si>
    <t xml:space="preserve">TAJIKISTAN: payment to trade for achievement of certain volume targets. Distributor makes payments to customers and then JTI compensates via discount in invoice price from JTI Kazakhstan </t>
  </si>
  <si>
    <t>Payment to trade for certain volume purchase achievement. KEY ISSUE: paid via discount on specific SKUs</t>
  </si>
  <si>
    <t>Distribution project realization reward</t>
  </si>
  <si>
    <t>TAJIKISTAN: Compensation of costs for field force delivery cars purchase. To be compensated by JTI via reduction of JTI invoice price from JTI Kazakhstan</t>
  </si>
  <si>
    <t>Compensation of distributor costs for renewal of field force cars. KEY ISSUE: paid via discount on specific SKUs</t>
  </si>
  <si>
    <t>WFG/WFL</t>
  </si>
  <si>
    <t xml:space="preserve">Tadjikistan: 100% gain or loss of JTI from price change generated on distributor side that later reconcile throught Trade Allowence </t>
  </si>
  <si>
    <t>The agreement effectively benefits the distributor as has the potential to reduce potential loss from price change. On the flip side, if the agreement ends up benefiting JTI then the same account should be used when provision is accrued in JTI books</t>
  </si>
  <si>
    <t>The agreement effectively benefits the distributor as has the potential to reduce potential loss from price change. On the flip side, if the agreement ends up benefiting JTI then the same account should be used when debit note is issued to distributor</t>
  </si>
  <si>
    <t>Track and Trace</t>
  </si>
  <si>
    <t>Track and trace equipment installation in Tajikistan market at JTI costs</t>
  </si>
  <si>
    <t xml:space="preserve">Installation og track and trace equipment at distributors' side at JTI costs </t>
  </si>
  <si>
    <t>$0.0</t>
  </si>
  <si>
    <t>Sales operations bonus</t>
  </si>
  <si>
    <t>MONGOLIA: Annual bonus for Volume KPI achievement. Eventually paid to distributor via JTI invoice price adjustment from JTI Kazakhstan</t>
  </si>
  <si>
    <t>Target achievement bonus for distributor that relatse to volumes achievement. KEY ISSUE: paid via discount on specific SKUs</t>
  </si>
  <si>
    <t xml:space="preserve">MONGOLIA: payment to wholelsalers for achievement of certain volume targets. Distributor makes payments to customers and then JTI compensates via discount in invoice price from JTI Kazakhstan </t>
  </si>
  <si>
    <t xml:space="preserve">MONGOLIA: payment to retailers for achievement of certain volume targets. Distributor makes payments to customers and then JTI compensates via discount in invoice price from JTI Kazakhstan </t>
  </si>
  <si>
    <t xml:space="preserve">Mongolia: 50% gain or loss of JTI from price change generated on distributor side that later reconcile throught Trade Allowence </t>
  </si>
  <si>
    <t xml:space="preserve">The agreement effectively benefits the distributor as has the potential to reduce potential loss from price change. On the flip side, if the agreement ends up benefiting JTI then the same account should be used. </t>
  </si>
  <si>
    <t>Kyrgyzstan</t>
  </si>
  <si>
    <t>KYRGYZSTAN: Volume push program aimed to drive volume increase in Retail and Wholesale universe. Given most part of participants of the program in quantity are from retail universe beneficiary in the next column is chosen as "Retailers".
Retailers and Wholesales receive sales plan upon fullfillment of which the remuneration is paid by Distrbutor in Kyrgyzstan. Then this payment done by distributor is compensated by JTI as a discount in invoice price from JTI Kazakhstan to distributor</t>
  </si>
  <si>
    <t>Retailers and Wholesalers receive remuneration directly by distirbutor. By substance the cost is at JTI</t>
  </si>
  <si>
    <t>KYRGYZSTAN: Annual bonus for Volume KPI achievement. Eventually paid to distributor via JTI invoice price adjustment from JTI Kazahkstan</t>
  </si>
  <si>
    <t xml:space="preserve">Kyrgyzstan: 100% gain or loss of JTI from price change generated on distributor side that later reconcile throught Trade Allowence </t>
  </si>
  <si>
    <t>Listing fee</t>
  </si>
  <si>
    <t>Horeca listing fee (RSP,Packs images in menu, magnetic inserts)</t>
  </si>
  <si>
    <t>JTI pays fee directly to POS for RSP,Packs images in menu, magnetic inserts</t>
  </si>
  <si>
    <t>KA&amp;Horeca KG Key Account Listing fee (TE placement in KA, gas station)</t>
  </si>
  <si>
    <t>JTI pays fee directly to KA for maintaining and renting place</t>
  </si>
  <si>
    <t>Track and Trace equipment installation</t>
  </si>
  <si>
    <t>Installation of track and trace systems at distributors' side at JTI cost</t>
  </si>
  <si>
    <t>Trade program for Wholesalers and Subsdistributors</t>
  </si>
  <si>
    <t>Wholesalers and Subdistributors receive payment directly from JTI on their accounts based on the achievement of volume targets</t>
  </si>
  <si>
    <t>Trade program for indirect channel - volume push</t>
  </si>
  <si>
    <t>KAZAKHSTAN: Non regular volume push target based program. Payment done directly to indirect channel customers by JTI.
SKUs selected are different during the year depending on volume performance, Brand strategy and pricing strategy</t>
  </si>
  <si>
    <t xml:space="preserve">Listing fee </t>
  </si>
  <si>
    <t>Listing fee for bar Winston 365. This is special bar for consumers where our company holds events.</t>
  </si>
  <si>
    <t>JTI pays fee directly to supplier for maintaining and renting a bar, intended for our customers</t>
  </si>
  <si>
    <t>Agency fee</t>
  </si>
  <si>
    <t xml:space="preserve">Dragau agency fee for telemarketing, DM, SMS delivery services </t>
  </si>
  <si>
    <t>JTI pays agency fee for provided services because agency as a intermediary between customer and JTI</t>
  </si>
  <si>
    <t>Trade promo</t>
  </si>
  <si>
    <t xml:space="preserve">Trade Mktg KZ TLP (trade loyalty programm) postpayment . Sign listing contracts quarterly with POS till the end of the year. In case of achivement 4 conditions : 1) entry condition: presence of the SKU in the amount at least 3 packs 2) distribution : 100% presence  of JTI portfolio in POS any time 3)TE installation (full visibility) 4)illumination (on mode for 100% working hours) JTI make the postpayment to POS. Visa card on quarterly basis 96% of TLP contracts </t>
  </si>
  <si>
    <t>Retailers receive payment directly from JTI on their accounts based on the achievement of volume targets</t>
  </si>
  <si>
    <t xml:space="preserve">Trade Mktg KZ TLP (trade loyalty programm) Prepayment  . Sign listing contracts quarterly with POS till the end of year. In case of achivement 4 conditions : 1) entry condition: presence of the SKU in the amount at least 3 packs 2) distribution 3)TE installation (full visibility) 4)illumination (on mode for 100% working hours) JTI make the prepayment to POS. Visa card 3% of TLP contracts </t>
  </si>
  <si>
    <t xml:space="preserve">Trade Mktg KZ TLP (trade loyalty programm) Bank account, include prepayment and postpayment. Sign listing contracts quarterly with POS till the end of year. In case of achivement 4 conditions : 1) entry condition: presence of the SKU in the amount at least 3 packs 2) distribution 3)TE installation (full visibility) 4)illumination (on mode for 100% working hours) JTI make the payment to POS. 1% of TLP contracts </t>
  </si>
  <si>
    <t>502200 BTLTrade/MerchAllowancesPOPMPlacement-PermIndoor</t>
  </si>
  <si>
    <t>JTI Partner Bonuses KZ (Pay for perfomance program, in case the plan was achived TMR assigns awards to POS)</t>
  </si>
  <si>
    <t xml:space="preserve">bonuses is given by means of preliminary purchased mobile cards ; cash by code withdraw from ATM, bonus can be paid directly to phone </t>
  </si>
  <si>
    <t>Horeca</t>
  </si>
  <si>
    <t>Horeca KZ Horeca Listing Fee (RSP,Packs images in menu, magnetic inserts)</t>
  </si>
  <si>
    <t>JTI pays listing fee directly to distributor for RSP,Packs images in menu, magnetic inserts</t>
  </si>
  <si>
    <t>Modern trade</t>
  </si>
  <si>
    <t>KA KZ Top Key Accounts Listing Fee (TE placement in hot zones)</t>
  </si>
  <si>
    <t>JTI pays listing fee directly to distributor for TE placement in hot zones</t>
  </si>
  <si>
    <t>KA KZ Bonus for KA (pay for perfomance ) pay bonuse for KA in case of achivement of target</t>
  </si>
  <si>
    <t>KA KZ Other Key Accounts Listing Fee (pay for perfomance ) pay bonuse for other KA in case of achivement of target</t>
  </si>
  <si>
    <t>distributors receive payment directly from JTI on their accounts based on the achievement of volume targets</t>
  </si>
  <si>
    <t>bonuses is given by means of preliminary purchased mobile cards; cash by code withdraw from ATM, bonus can be paid directly to phone. This account will be used when the provision is accrued</t>
  </si>
  <si>
    <t>351408 Retail Allowances Manual Adj</t>
  </si>
  <si>
    <t>KAZAKHSTAN: Wholesalers and Subdistributors have volume purchase plans based on which they receive remuneration fixed per mille in local currencyRegular volume target based program. Payment done directly to wholesalers and subdistributors by JTI</t>
  </si>
  <si>
    <t>Single centralized distributor (ODBE)  is receiving a fixed percentage (legislated) trade margin from tobacco companies. To limit their profitability ODBE is providing a year end REBATE to tobacco companies based on their contribution to ODBE financial performance. JTI is receiveing a yearly payback around 1 $MM.</t>
  </si>
  <si>
    <t>308018 Trade Allowance Manual Adjustments</t>
  </si>
  <si>
    <t>Not market information or free/faulty goods, payment related. Does not benefit the end consumers, and also not freight or collection related. Does not benefit a retailer but JTI (not selling derictly to end consumers).</t>
  </si>
  <si>
    <t>NEW - 964000</t>
  </si>
  <si>
    <t>Utólag kapott – közvetve kapcsolódó – engedmény</t>
  </si>
  <si>
    <t>Marketing Allowance</t>
  </si>
  <si>
    <t>Visibility fee payed for retailers based on half year contracts for defined number facing places for tobacco products.</t>
  </si>
  <si>
    <t>Cash payment to Retailer. Not market information or free/faulty goods, payment related. Does not benefit the end consumers, and also not freight or collection related. Allowance benefits a Retailer providing a well defined service (fixed number of facings) making tobacco products visible for end consumers.</t>
  </si>
  <si>
    <t>NEW - 524100</t>
  </si>
  <si>
    <t>Láthatósági díj, polcrész kialakítása, szerelése</t>
  </si>
  <si>
    <t>Other Allowance</t>
  </si>
  <si>
    <t>Year end bonus paid to limited number of retailers (on duty free area) based on multiple aspects but mainly turnover without providing a service.</t>
  </si>
  <si>
    <t>313010 Discount adjustments account</t>
  </si>
  <si>
    <t>Cash payment/Credit item to Retailer. Not market information or free/faulty goods, payment related. Does not benefit the end consumers, and also not freight or collection related. Allowance benefits a Retailer based on multilple criteria, mainly turnover without providing a service.</t>
  </si>
  <si>
    <t>Utólag adott - közvetve kapcsolódó - engedmény</t>
  </si>
  <si>
    <t>Distribution &amp; visibility &amp;communication building program: Merchandising Plus</t>
  </si>
  <si>
    <t xml:space="preserve">
Communication and distribution of Key JTI SKU
</t>
  </si>
  <si>
    <t>Distribution building program: Distribution Plus</t>
  </si>
  <si>
    <t xml:space="preserve">
Distribution of Key JTI SKU
</t>
  </si>
  <si>
    <t>Distribution &amp; visibility building program: RLP</t>
  </si>
  <si>
    <t>Program dedicated for retailers. 
Fixed renumeration for visibility, distribution and communication with placement of Permanent and semi-permanent POSM .</t>
  </si>
  <si>
    <t>Listing/Visibility Fees</t>
  </si>
  <si>
    <t>Contract with key accounts on which we agree to pay a fee in order to have a products placed on their shelves. The main purpose of the contracts is to increase number of SKUs and JTI volume, Contracts are annual or multi-year ageements.</t>
  </si>
  <si>
    <t>HoReCa Contract</t>
  </si>
  <si>
    <t>Price discounts - Early Payment</t>
  </si>
  <si>
    <t>A discount is given to the customer for early payment. The same discount is applied for every customer.</t>
  </si>
  <si>
    <t>341208 Payment allowances - Non-SD</t>
  </si>
  <si>
    <t>Discount posted on one SKU   (through rebates agreements). If deatails needed please contact Mateusz Dopierala</t>
  </si>
  <si>
    <t>341200 Payment allowances - SD</t>
  </si>
  <si>
    <t>Currently is Non SD but we woudl like to have SD on the SKU level</t>
  </si>
  <si>
    <t>Price discounts - Customer Allowance</t>
  </si>
  <si>
    <t>Distribution fee depending on order quantity (sell-in). Reward program based on fulfillment of certain conditions by wholesalers (sell out)</t>
  </si>
  <si>
    <t>Fixed discount per SKU @3.5 PLN/1000</t>
  </si>
  <si>
    <t>Distribution &amp; visibility building program -Sales Cycle Support</t>
  </si>
  <si>
    <t>Program dedicated for retailers as Sales Cycle Support
For securing availability of targeted SKUs &amp; enhancing visibility retailer is rewarded. Additional communication/merchandisng POS may be required.</t>
  </si>
  <si>
    <t>Pay for performance</t>
  </si>
  <si>
    <t>Program dedicated for retailers as Sales Cycle Support
POS receives volume target (selected JTI SKU) basing on daily sales data. If the target is achieved POS is rewarded.</t>
  </si>
  <si>
    <t>Core PCP - SD</t>
  </si>
  <si>
    <t>Discounts to direct customers as a price contibution. Core relates to all year round price contributions.</t>
  </si>
  <si>
    <t>7W</t>
  </si>
  <si>
    <t>Tax category = tax code. In this case, only the tax code entered in the GL master record will be allowed in the document posting.</t>
  </si>
  <si>
    <t>Core PCP - Manual</t>
  </si>
  <si>
    <t>Manual postings related to price contribution discounts given to indirect customers or customers who won't accept PCP off sales invoice.</t>
  </si>
  <si>
    <t>Tactical PCP</t>
  </si>
  <si>
    <t>This is temporary price allowance (eg, for a short period after a Budget or price increase). All tactical is done manually regardless of whether customer is idrect or indirect as it is based on EPOS (consumer sales) not caputed in SAP.</t>
  </si>
  <si>
    <t>308012 Tactical Promotional Payments</t>
  </si>
  <si>
    <t>Trading agreements</t>
  </si>
  <si>
    <t>Annual margin compensation - rate per KU Wholesalers (not linked to volume target or price)</t>
  </si>
  <si>
    <t>Annual margin compensation - rate per KU Retailers (not linked to volume target or price)</t>
  </si>
  <si>
    <t xml:space="preserve">Amounts paid to retailers for availability/listing </t>
  </si>
  <si>
    <t>Range and space and planograms</t>
  </si>
  <si>
    <t>Gantry units</t>
  </si>
  <si>
    <t>Sales and marketing information and data</t>
  </si>
  <si>
    <t>Maximum pricing based on volume x rate per unit</t>
  </si>
  <si>
    <t>Trade reward cards - loyalty programs to indirect retailers</t>
  </si>
  <si>
    <t>Swap Stock - Handling Fee</t>
  </si>
  <si>
    <t>Handling allowance paid to wholesales who support our field salesforce by providing stock for them to either sell, giveawat or swap at independent retail outlets.</t>
  </si>
  <si>
    <t>308030 Swap Stock Handling Allowance</t>
  </si>
  <si>
    <t>Swap Stock</t>
  </si>
  <si>
    <t>Wholesaler is compensated at Q5 price list price for providing stock to give to independent retailers in exchange for damaged stock or to swap out new brands for old</t>
  </si>
  <si>
    <t>308031 Sales Allowance Manual Adj</t>
  </si>
  <si>
    <t>Tactial Stock_Indirect</t>
  </si>
  <si>
    <t>Wholesaler is compensated at Q5 price list price for providing stock to give to independent retailers in exchange for stock given out for free to retailers</t>
  </si>
  <si>
    <t>308040 Sales Allowance - Tactical</t>
  </si>
  <si>
    <t>Q7</t>
  </si>
  <si>
    <t>Discount is applied to full trunker loads as part of invoiced amounts</t>
  </si>
  <si>
    <t>Discounts relates to full trunker loads and is credited separately to sales invoice due to customer requirements</t>
  </si>
  <si>
    <t>307011 Freight Allowance Manual Adj</t>
  </si>
  <si>
    <t>Brand Placement</t>
  </si>
  <si>
    <t>Listing fees not included in trading agreements</t>
  </si>
  <si>
    <t>Tactical Promo Wholesaler</t>
  </si>
  <si>
    <t>Compensation payment to wholesaler to provide retailer who is buying from them with a higher than usual margin</t>
  </si>
  <si>
    <t>308021 TITP allowance adjustment for CO-PA</t>
  </si>
  <si>
    <t>KPIs to Distributors in Serbia, Bosnia, Montenegro</t>
  </si>
  <si>
    <t>Reimbursement to distributors on the set by agreement and achieved KPIs related to sales of JTI brands</t>
  </si>
  <si>
    <t>n/A</t>
  </si>
  <si>
    <t>Posting is made manually via SRT, but with respective split to SKUs ( currently)</t>
  </si>
  <si>
    <t>2 separate Alternative GL accounts are required in order to split between local distributor and export distributor:
1) Distribution Allowances for imported FG
2) Distribution Allowances for Exported FG</t>
  </si>
  <si>
    <t>Excise tax reimbursement to distributor in Bosnia</t>
  </si>
  <si>
    <t>Reimbursement to distributor for the difference in excise tax at the moment of change of excise tax. Coveres difference in Excise on the inventory @ distributor warehouse and retailer's warehouses.</t>
  </si>
  <si>
    <t>Reimbursement to distributor for the change in RSP</t>
  </si>
  <si>
    <t>Reimbursement to distributor for the change in RSP in cases when the prices are changed and distributor needs to compensate retail for sucha changes</t>
  </si>
  <si>
    <t>Reimbursement to distributor for distruction of old stock</t>
  </si>
  <si>
    <t>KPIs to Distributors in Slovenia.</t>
  </si>
  <si>
    <t>Reimbursement to distributor on the set by agreement and achieved KPIs related to sales of JTI brands</t>
  </si>
  <si>
    <t>Sales return of FG from distributor to JTI</t>
  </si>
  <si>
    <t>Any kind of FG return from distributor to JTI</t>
  </si>
  <si>
    <t>Automatically through sales module</t>
  </si>
  <si>
    <t>2 separate Alternative GL accounts are required in order to split between local distributor and export distributor:
1) Sales return for imported FG
2) Sales return for Exported FG</t>
  </si>
  <si>
    <t>KA/RLP KPIs in Serbia and Montenegro</t>
  </si>
  <si>
    <t>Invoice issued from KA/RLP, booked on PO.</t>
  </si>
  <si>
    <t>2 separate Alternative GL accounts are required in order to split between local KA/RLP and export KA/RLP:
1) KA/RLP Allowances for imported FG
2) KA/RLP Allowances for Exported FG</t>
  </si>
  <si>
    <t>HoReca, Small KA fees</t>
  </si>
  <si>
    <t>Payment to HoReCa and small KA in Slovenia market for leesting fees</t>
  </si>
  <si>
    <t>309010 Spoiled / Damaged Allowance</t>
  </si>
  <si>
    <t>Bonus to distributor</t>
  </si>
  <si>
    <t>Provision of overachievement bonuses to distributors or bonuses to distributor's employees for overachievment of sales KPIs.</t>
  </si>
  <si>
    <t>KA KPIs in Slovenia</t>
  </si>
  <si>
    <t>Reimbursement to KA for the achieved variable part of the KA fee based on the agreement</t>
  </si>
  <si>
    <t>KA fees/BTP in Slovenia</t>
  </si>
  <si>
    <t>Payment to KA in Slovenia market for leesting fees and BTP programs</t>
  </si>
  <si>
    <t>BTP, SAIP, RIP programs</t>
  </si>
  <si>
    <t>Reimbursement to distributor for execution of BTP and RIP programs</t>
  </si>
  <si>
    <t>2 separate Alternative GL accounts are required in order to split between local distributor and export distributor:
1) Programs Allowances for imported FG
2) Programs Allowances for Exported FG</t>
  </si>
  <si>
    <t xml:space="preserve">KA, RLP, HORECA fees </t>
  </si>
  <si>
    <t>Fixed part of KA/RLP fees by agreement and overall HORECA fee</t>
  </si>
  <si>
    <t>Payment for execution of BTP, RIP programs to KA, RLP, HoRECA</t>
  </si>
  <si>
    <t>Bonus to KA, RLP</t>
  </si>
  <si>
    <t>Bonuses for overachievement of sales in KA or RLP</t>
  </si>
  <si>
    <t>Sales Returns</t>
  </si>
  <si>
    <t>Trade volume incentives</t>
  </si>
  <si>
    <t>Incentive paid to wholesalers/retailers related to listing fees for JTI products and also fees relating to increasing JTI prodict visibility.</t>
  </si>
  <si>
    <t>Sales information fees</t>
  </si>
  <si>
    <t>Incentive paid to wholesalers for providing sales data.</t>
  </si>
  <si>
    <t>Visibility fees</t>
  </si>
  <si>
    <t>Availability fees</t>
  </si>
  <si>
    <t>Horeca vending fees</t>
  </si>
  <si>
    <t>Gantry fees</t>
  </si>
  <si>
    <t>Fees to independent retailers for placement of permanent POSM.</t>
  </si>
  <si>
    <t>Horeca exclusivity fees</t>
  </si>
  <si>
    <t>Wholesaler volume discounts</t>
  </si>
  <si>
    <t>Incentive paid to distributors for achieving volume target, posting is done through SRT, not through SD.</t>
  </si>
  <si>
    <t>KA volume discounts</t>
  </si>
  <si>
    <t>Ad-hoc wholesaler volume incentives</t>
  </si>
  <si>
    <t>Customer Bank Guarantees fees</t>
  </si>
  <si>
    <t>502460 BTLTrade/MerchAllowShelfAllowVendingColListingFee</t>
  </si>
  <si>
    <t>502510 BTLTrade/MerchAllowInStoreAllowBackwallsfee</t>
  </si>
  <si>
    <t>308070 Customer / Distributor Bank Fees</t>
  </si>
  <si>
    <t xml:space="preserve">Distributors fees </t>
  </si>
  <si>
    <t>Fees paid to Distributors for distribution activities. They are usually fixed amounts/mastercase (contractually agreed).</t>
  </si>
  <si>
    <t>Incentive paid to a Distributor  based on quantity of SKUs sold, Non-SD.</t>
  </si>
  <si>
    <t>Wholesalers fees</t>
  </si>
  <si>
    <t>Fees paid to Wholesalers based on volume increase (contractually agreed).</t>
  </si>
  <si>
    <t>Incentive paid to a Wholesaler  based on quantity of SKUs sold, Non-SD.</t>
  </si>
  <si>
    <t>Key accounts fees</t>
  </si>
  <si>
    <t>Incentive paid to a Key Account  based on quantity of SKUs sold, Non-SD.</t>
  </si>
  <si>
    <t>Retail fees</t>
  </si>
  <si>
    <t>Fees paid to Retailers based on volume increase (contractually agreed).</t>
  </si>
  <si>
    <t>Incentive paid to a Retailer  based on quantity of SKUs sold, Non-SD.</t>
  </si>
  <si>
    <t>Field force bonuses for adhoc programs related to volume target, stock optimization, credit collection etc)</t>
  </si>
  <si>
    <t>Bonuses to field force ( either JTI Romania field force or distributor field force) for volume selling, stock optimization, credit collection etc.)</t>
  </si>
  <si>
    <t>Ad-hoc Incentive programs for filed force related to distribution and selling our products, booked Non-SD.</t>
  </si>
  <si>
    <t>Ad-hoc programs, Non-SD</t>
  </si>
  <si>
    <t>Distributors discounts granted through SD module</t>
  </si>
  <si>
    <t>Discounts paid to distributors- contractually agreed ( as percentages) or ad-hod programs flowing through SD module, depending on the volume target.</t>
  </si>
  <si>
    <t>Special partnership level based discounts given to distributors, as part of the contract agreement or ad-hoc programs for volume sustaining. We assume this account is automatic. We need to be able post manual adjustments as well or to have another account for manual postings.</t>
  </si>
  <si>
    <t>Key Accounts discounts granted through SD module</t>
  </si>
  <si>
    <t>Special partnership level based discounts given to Key Accounts, as part of the contract agreement or ad-hoc programs for volume sustaining. We assume this account is automatic. We need to be able post manual adjustments as well or to have another account for manual postings.</t>
  </si>
  <si>
    <t>Wholeselers discounts granted through SD module</t>
  </si>
  <si>
    <t>Discounts paid to Wholesalers contractually agreed ( as percentages) or ad-hod programs flowing through SD module.</t>
  </si>
  <si>
    <t>Special partnership level based discounts given to Wholesalers, as part of the contract agreement or ad-hoc programs for volume sustaining. We assume this account is automatic. We need to be able post manual adjustments as well or to have another account for manual postings.</t>
  </si>
  <si>
    <t>Key Accounts  Fees</t>
  </si>
  <si>
    <t>Remuneration paid to Key Accounts for purchasing JTI products from our warehouses.</t>
  </si>
  <si>
    <t>Currently, we book fees paid to Key Accounts through AP invoice which are subsequently reclassified in 310010. In the new set-up we need separate account which will receive posting directly from AP. We didn't choose 341508 because we consider this new account linked to alternative account 6280043(expense) and 341508 we consider to be linked to 7090000(income).</t>
  </si>
  <si>
    <t>We need the new GL account requested to be linked to  6280043 Alternative account for Statutory.</t>
  </si>
  <si>
    <t>Distributor Fees</t>
  </si>
  <si>
    <t>Remuneration paid to Distributors to perform merchandising activities in their distribution process to customers.</t>
  </si>
  <si>
    <t>Currently, we book fees paid to Distributors through AP invoice which are subsequently reclassified in 310010. In the new set-up we need separate account which will receive posting directly from AP. We didn't choose 341508 because we consider this new account linked to alternative account 6280043(expense) and 341508 we consider to be linked to 7090000(income).</t>
  </si>
  <si>
    <t>Customer/Distributor bank fees</t>
  </si>
  <si>
    <t>Bank guarantee fees paid by customers and after that issued to JTI.</t>
  </si>
  <si>
    <t>Currently, we book bank guarantees fees paid to Distributors through AP invoice on GL 532088 which are subsequently reclassified in 308070. In the new set-up we need separate account which will receive posting directly from AP. We didn't choose 341508 because we consider this new account linked to alternative account 6280043(expense) and 341508 we consider to be linked to 7090000(income).</t>
  </si>
  <si>
    <t>Placement Fees Retailers</t>
  </si>
  <si>
    <t>Fees paid to  Retailers to allow JTI to place POPM materials in the shops.</t>
  </si>
  <si>
    <t>Placement fees paid to Retailers for allowing JTI to place POPM materials in their shops.</t>
  </si>
  <si>
    <t>Placement Fees Key Accounts &amp; Horeca</t>
  </si>
  <si>
    <t>Fees paid to  Key accounts &amp; Horeca to allow JTI to place POPM materials in the shops.</t>
  </si>
  <si>
    <t>Placement fees paid to Key Accounts &amp; Horeca for allowing JTI to place POPM materials in their shops.</t>
  </si>
  <si>
    <t>Visibility Fees</t>
  </si>
  <si>
    <t xml:space="preserve">Contracts with Retailers on which we agree to pay a fee in order to have products placed on their shelves. </t>
  </si>
  <si>
    <t>Fees paid to Retailers for services to increase brand and/or product visibility.</t>
  </si>
  <si>
    <t xml:space="preserve">Contracts with Key accounts &amp; Horeca on which we agree to pay a fee in order to have products placed on their shelves. </t>
  </si>
  <si>
    <t>Fees paid to Ke Accounts &amp; Horeca to increase brand and/or product visibility.</t>
  </si>
  <si>
    <t>Information regarding sales</t>
  </si>
  <si>
    <t>Payments to Key accounts for information provided to us with sales / inventory data.</t>
  </si>
  <si>
    <t>Trading reward programs</t>
  </si>
  <si>
    <t>Discounts for trade programs given to Retailers depending on the volume target.</t>
  </si>
  <si>
    <t>Incentives paid to Retailers based on a volume target.</t>
  </si>
  <si>
    <t>Discounts for trade programs given to Key Accounts &amp; Horeca depending on the volume target.</t>
  </si>
  <si>
    <t>Incentives paid to Key Accounts &amp; Horeca based on a volume target.</t>
  </si>
  <si>
    <t>Cash rewards to shop assistents to promote JTI products to consumers.</t>
  </si>
  <si>
    <t>Discounts given to shop assistents to promote our products to End Consumers. We are not sure if the new GL account is the most suitable for this category. Kindly please advise.</t>
  </si>
  <si>
    <t>Discounts for trade programs given to Retailers based on volume target.</t>
  </si>
  <si>
    <t>Currently, these discounts are booked through Sales Allowance account 307015 and then subsequently reclassified in 501605. This new account should be available for postings from AR.</t>
  </si>
  <si>
    <t>Remuneration paid to Distributors through AP invoices for distribution services.</t>
  </si>
  <si>
    <t>In the new set-up we need separate account which will receive posting directly from AP, same account requested as for GL 310010. We didn't choose 341508 because we consider this new account linked to alternative account 6280043(expense) and 341508 we consider to be linked to 7090000(income).</t>
  </si>
  <si>
    <t>Sweden+</t>
  </si>
  <si>
    <t>Loyalty Program Compliance (RMC)</t>
  </si>
  <si>
    <t>Loyalty Program SNUS - Visibility Buy Cooler Space</t>
  </si>
  <si>
    <t>Seasonal Outlets and Festival Activities RMC &amp; SNUS</t>
  </si>
  <si>
    <t>Key Account - Secondary Partnerships / Category Manager.</t>
  </si>
  <si>
    <t>Key Account - Compliance bonus / Performance Payment</t>
  </si>
  <si>
    <t xml:space="preserve">Key Account - Campaigns </t>
  </si>
  <si>
    <t xml:space="preserve">Horeca (Pay to Play) </t>
  </si>
  <si>
    <t>502465 BTLTrade/MerchAllowShelfAllowVendingvisibilityfee</t>
  </si>
  <si>
    <t>E-commerce SNUS - fee to Snusbolaget.se</t>
  </si>
  <si>
    <t>502560 BTLTrade/MerchAllowBusDvlp/GrowthIncentActivitFreq</t>
  </si>
  <si>
    <t>Discounts on SNUS with aim to effect Trades RSP to end consumer.</t>
  </si>
  <si>
    <t>Performances bonus based on volumes given to Distributor (Conrad Langaard) on a monthly basis</t>
  </si>
  <si>
    <t>Joint marketing / Listing fees at KAs and buying groups</t>
  </si>
  <si>
    <t>Discounts given to Reitan, Norgesgruppen and REMA 1000 to keep shelf space and listings, paid through Distriubutor</t>
  </si>
  <si>
    <t>Trade discount</t>
  </si>
  <si>
    <t>It is a percentage deduction on price. The rate vary from one dealer to another depending on the condition (e.g. Dealer collect the product at TCC premises, distribution coverage etc.) of every dealer. The rate is set on the system (i.e. Customer master data).</t>
  </si>
  <si>
    <t>+</t>
  </si>
  <si>
    <t>only tax codes with “Output Tax” category is allowed, and also the system will try to process the document as “Down payment” and create additional lines in the document, if several more conditions are met. This tax category is usually assigned to a customer reconciliation account when you need special treatment of down payments.</t>
  </si>
  <si>
    <t>It is a percentage deduction on price. The rate is uniform to all Distributors except one who has additional 1% due to distribution coverage. The rate is set on the system (i.e. Customer master data).</t>
  </si>
  <si>
    <t>Quarterly Target Incentive</t>
  </si>
  <si>
    <t xml:space="preserve">Incentives given to distributors after achieving agreed quarterly target </t>
  </si>
  <si>
    <t>Dealer Incentive programms</t>
  </si>
  <si>
    <t>Incentives given to dealers after achieving agreed target. It can be on Monthly, quarterly or half year target or at a certain promotion period</t>
  </si>
  <si>
    <t>Rebate</t>
  </si>
  <si>
    <t>Rebate given to dealers who met a certain agreed conditions (e.g. buy a certain level of quantity on one order for a certain brands). The rebate is given in form of credit note.</t>
  </si>
  <si>
    <t>Rebate given to Distributors who met a certain agreed conditions (e.g. buy a certain level of quantity on one order for a certain brands). The rebate is given in form of credit note.</t>
  </si>
  <si>
    <t>Free Goods</t>
  </si>
  <si>
    <t>Free product reward against target purchase achieved by wholesalers</t>
  </si>
  <si>
    <t>Free product used during product launches / distribution drives at retail POS (i.e. buy 1 get 1 free)</t>
  </si>
  <si>
    <t>Free product used for 1-2-1 activation consumer sampling</t>
  </si>
  <si>
    <t>Reimbursement to KA (predominantly retailers) and RLP for the variable part of the KA/RLP fee based on the agreement</t>
  </si>
  <si>
    <t>Immediate payment discount</t>
  </si>
  <si>
    <t>2.5% discount given to all customers for immediate payment (signed up with EFT)</t>
  </si>
  <si>
    <t>Promotional "poly"-wrap discount</t>
  </si>
  <si>
    <t>Promotional discount on "poly" SKUs - ex. packs with "$0.75 off" wrap/sticker</t>
  </si>
  <si>
    <t>Buydowns (Core PCP - Manual)</t>
  </si>
  <si>
    <t>Per carton discount given to contracted retailers for selling JTI product, in order to sell at competitive RSP</t>
  </si>
  <si>
    <t>Price discount paid at retail level to offset final RSP to consumers</t>
  </si>
  <si>
    <t>Merchandising</t>
  </si>
  <si>
    <t>Per carton discount given to contracted retailers for cost of signage, shelf space, etc.</t>
  </si>
  <si>
    <t xml:space="preserve">Discount given to contracted retailers for signage / shelf space </t>
  </si>
  <si>
    <t>Distributor Incentive</t>
  </si>
  <si>
    <t>Per carton discount given to contracted retailers for distributing JTI product</t>
  </si>
  <si>
    <t>Discount given to wholesalers/distributors for carrying/distributing JTI product</t>
  </si>
  <si>
    <t>Price Increase Credit</t>
  </si>
  <si>
    <t>Credit for the difference between new/old list prices, less any applicable payment terms, for 3 days’ average purchases</t>
  </si>
  <si>
    <t>Discount given to wholesalers/distributors following price increase to offset impact on RSP</t>
  </si>
  <si>
    <t>Retailer Special Discounts - Profit Guarantee (Distributors)</t>
  </si>
  <si>
    <t>Discounts given to specific chains (Circle K, Speedway, etc.) in order for them to provide competitive RSP for JTI products</t>
  </si>
  <si>
    <t>Discount given to specific chains to sell to end consumers at a competitive price point</t>
  </si>
  <si>
    <t>Display/Visibility Incentives</t>
  </si>
  <si>
    <t>Per carton discount given to contracted retailers for signage/shelf space</t>
  </si>
  <si>
    <t xml:space="preserve">Payment given to contracted retailers for signage / shelf space </t>
  </si>
  <si>
    <t>Sticker Promotions</t>
  </si>
  <si>
    <t>Promotional discount paid to retailer</t>
  </si>
  <si>
    <t>Lowest Price Incentive</t>
  </si>
  <si>
    <t>Per carton discount given to contracted retailers for selling JTI product at the lowest price vs. competitors</t>
  </si>
  <si>
    <t>Retail Incentives</t>
  </si>
  <si>
    <t>Specific promotions at the retail level, ie. "buy two packs get one free" for a specific promotional period</t>
  </si>
  <si>
    <t>Promotional discount passed onto end consumer via retailer/wholesaler</t>
  </si>
  <si>
    <t>Allowance relates to payment method discounts</t>
  </si>
  <si>
    <t>Discount passed onto end consumer via retailer/wholesaler</t>
  </si>
  <si>
    <t>Belarus</t>
  </si>
  <si>
    <t>Bonuses to trade, drive team (field force motivation), stock compensation, etc</t>
  </si>
  <si>
    <t xml:space="preserve">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Contracts are annual or multi-year agreements. </t>
  </si>
  <si>
    <t>Sales Operations: Bonus (Retailer)</t>
  </si>
  <si>
    <t>Target achievement bonus for retailers, can relate to volumes bonus and compiance with contract bonus (eg, no Out of Stock, SKU variety, maintained shelf space %, etc)</t>
  </si>
  <si>
    <t>Trade allowance</t>
  </si>
  <si>
    <t>313012 Trade discount adj for CO-PA COEL12</t>
  </si>
  <si>
    <t>306016 Cash discount adjustment adj for CO-PA</t>
  </si>
  <si>
    <t>- Boost/ Guarantee certain volume or sales from customers
- Yearly target incentive for Key Accounts</t>
  </si>
  <si>
    <t>Free Cigarettes</t>
  </si>
  <si>
    <t>Free cigarettes to customers (KA/GT) for educational purpose and easier communication for new launches, LEB, LEP etc.</t>
  </si>
  <si>
    <t>Trade Incentives (trade marketing)</t>
  </si>
  <si>
    <t xml:space="preserve">The national trade incentive program is translated from the portfolio strategy and aimed to support commercial objectives achievement, such as distribution, volume, brand awareness. The program is deployed in KA &amp; GT channels and pay to KA banners and GT outlets/TPs in program basis. </t>
  </si>
  <si>
    <t>Trade Incentives (field marketing)</t>
  </si>
  <si>
    <t>Trade programs developed on field base with specific outlet targeting to drive JTI distribution, visibility, volume and trial…etc. The programs are mostly in short period (2-3 months) without contract. Designed with the spirit of “pay by performance”. Frequency depends on field needs (around 100 programs in 2017</t>
  </si>
  <si>
    <t>CVS Backwall Rental</t>
  </si>
  <si>
    <t>Merchandising contracts with Key accounts &amp; Retailers on which we agree to pay a fee in order to have the display place on their store shelves. The rental is on monthly basis with fixed monthly rental per store.  Contracts are annual or multi-year agreements.</t>
  </si>
  <si>
    <t>GT Shelf Rental &amp; Merchandising Agreement</t>
  </si>
  <si>
    <t>Contracts with GT outlets on which we agree to pay a fee in order to have products placed on their shelves. This could include exact information on the visibility. The main purpose of the contracts is to increase JTI portfolio distribution and volume. Contracts are annual or multi-year agreements. The payment is monthly basis and paid by cigarette.</t>
  </si>
  <si>
    <t>Key Account Allowance</t>
  </si>
  <si>
    <t>Agreement or contracts with Key accounts &amp; Retailers on which we agree to pay for  marketing activities or cooperation events such as trade show, bi-weekly magazine, online training and SOM incentives that come with merchandising contracts. The marketing allowances consist of both regular and one-time events depending on the agreement/ contracts.</t>
  </si>
  <si>
    <t>Incentive paid to trade partners according to monthly/quarterly/FY performance with benchmark against KPI audit</t>
  </si>
  <si>
    <t>Super/Hyper Rental</t>
  </si>
  <si>
    <t>Merchandising contracts with Super/Hyper retailers on which we agree to pay a fee in order to have the display place on their store shelves. The rental is on monthly basis with fixed monthly rental per store.  Contracts are annual or multi-year agreements.</t>
  </si>
  <si>
    <t>Oil price and Off-shore compensation is a logistic allowance give to KA to compensate the oil price variance and support Off-shore stores transportation cost</t>
  </si>
  <si>
    <t>POS and EOS fees were paid to obtain system sales data from Key Accounts.</t>
  </si>
  <si>
    <t>To strengthen partnership with Key Accounts related to building volumes, achieving certain level of sales - fee paid relates to distribution service provided by 7-Eleven</t>
  </si>
  <si>
    <t>Manual adjustment for 7-11 and HL to exclude excise tax from above postings - month end. - fee paid relates to a distribution service provided by 7-Eleven</t>
  </si>
  <si>
    <t>Cash discounts</t>
  </si>
  <si>
    <t xml:space="preserve">Cash discount (fixed amount or % ), applied to the direct customers for paying the invoice earlier. It's booked via SD module. Usually it's CHF/Mstick. </t>
  </si>
  <si>
    <t>341200: Allowance related to early payment, to retailer</t>
  </si>
  <si>
    <t>341200: Allowance related to early payment, to distributor</t>
  </si>
  <si>
    <t xml:space="preserve">Cash discount (fixed amount or % ), applied to the direct customers for paying the invoice earlier. It's normally booked via SD module (adjustments, if any, are booked via GL journal manually). Usually it's CHF/Mstick. </t>
  </si>
  <si>
    <t>341208: Allowance related to early payment, to retailer. On exceptional basis, manual adjustments can happen via GL journal, normally process is via SD module.</t>
  </si>
  <si>
    <t>341208: Allowance related to early payment, to distributor. On exceptional basis, manual adjustments can happen via GL journal, normally process is via SD module.</t>
  </si>
  <si>
    <t>Retailer special discounts</t>
  </si>
  <si>
    <t>1) Discounts given to direct customers for providing us trade sales/inventory data 
it's CHF/Mstick, therefore is booked via SD module</t>
  </si>
  <si>
    <t>Sales information</t>
  </si>
  <si>
    <t>2) Special partnership level based discounts given to direct customers, as part of negotiation agreement. 
it's CHF/Mstick, therefore is booked via SD module</t>
  </si>
  <si>
    <t xml:space="preserve">incentive paid to distributor to guarantee a certain level of profit.  
Note: when we pay to retailer/KA for performing distribution functions (eg Valora, Coop, Denner distributing to kiosks/shops) - cost is treated as distribution cost (regardless that customer is Key account). </t>
  </si>
  <si>
    <t>1) Discounts given to direct customers for providing us trade sales/inventory data 
adjustments, if any, that are booked via GL journal manually</t>
  </si>
  <si>
    <t>2) Special partnership level based discounts given to direct customers, as part of negotiation agreement. 
adjustments, if any, that are booked via GL journal manually</t>
  </si>
  <si>
    <t>Distributor special discounts</t>
  </si>
  <si>
    <t>A discount (CHF/M stick), given to those direct customers, that come to pick up goods to JTI warehouse by themselves (if JTI delivers goods to customer's central warehouse - no discount is applied).  Booked via SD module (adjustments, if any, are booked via GL journal manually)</t>
  </si>
  <si>
    <t xml:space="preserve">Freight discounts to retailer - deductions, related to a type of services provided. </t>
  </si>
  <si>
    <t>Freight discounts to retailer - deductions, related to a type of services provided. On exceptional basis, manual adjustments can happen via GL journal, normally process is via SD module.</t>
  </si>
  <si>
    <t xml:space="preserve">Freight discounts to Distributor - deductions, related to a type of services provided. </t>
  </si>
  <si>
    <t>Freight discounts to Distributor - deductions, related to a type of services provided. On exceptional basis, manual adjustments can happen via GL journal, normally process is via SD module.</t>
  </si>
  <si>
    <t>Freight Allowance booked via PO (ex Trade bonus)</t>
  </si>
  <si>
    <t xml:space="preserve">In the past we used to book trade bonus here. But as of 2015 all trade bonus are booked under Mrkt allowances. Currently in this JTIO we only book freight allowances for 2 customers (1 retail, 1 distributor). The concept is the same as freight allowances described above (307011 JTIO). However, those 2 customers requested allowances being paid via separately issued invoices (via P2P cycle) instead of being charged via sales invoices (SD module). Theoretically, it could probably be booked under 307011. </t>
  </si>
  <si>
    <t>Freight discounts to Retailer - deductions, related to a type of services provided. Customer requested allowances being paid via separately issued invoice.</t>
  </si>
  <si>
    <t>Freight discounts to Distributor - deductions, related to a type of services provided. Customer requested allowances being paid via separately issued invoice.</t>
  </si>
  <si>
    <t>Handling fees (online sales)</t>
  </si>
  <si>
    <t>Ploom Tech: handling, shipping and transaction cost for the services provided by distributor for online sales: we sell Ploomtech online. Where sales price to distributor = final consumer price = RSP. Therefore, distributor charges us at month end for the logistics service cost (invoice via P2P cycle)</t>
  </si>
  <si>
    <t xml:space="preserve"> Warehousing and related cost of shipment preparation. Cost is booked via P2P cycle (PO-GR-Invoice)</t>
  </si>
  <si>
    <t>Faulty goods replacement</t>
  </si>
  <si>
    <t xml:space="preserve">Ploom Tech: comensation or replacement of damaged or faulty goods. Normally, there is no physical return of a faulty good. </t>
  </si>
  <si>
    <t>341300 Sales/Returns allowances - SD</t>
  </si>
  <si>
    <t xml:space="preserve">Compensation due to problem with product (defects). </t>
  </si>
  <si>
    <t>308060 Swap Stock / Damages – Stock Credits</t>
  </si>
  <si>
    <t>Strategic price discounting</t>
  </si>
  <si>
    <t xml:space="preserve">This is promotional/strategic price discounting provided to the final consumers, allowing them to get products at reduced price.  It's NOT a price discounting to the RETAIL.  </t>
  </si>
  <si>
    <t xml:space="preserve"> intention to reduce end consumer selling price. Currently invoiced to JTI via PO (i.e. non-SD), but may be handled via SD module in future</t>
  </si>
  <si>
    <t xml:space="preserve"> intention to reduce end consumer selling price. Currently invoiced to JTI via PO (i.e. non-SD)</t>
  </si>
  <si>
    <t>Sales Operations: Sales info purchase</t>
  </si>
  <si>
    <t>Trade/sell-in (shipments to the stores/POP) data purchase cost from retailers and distributors</t>
  </si>
  <si>
    <t>Sales/Mrkt information</t>
  </si>
  <si>
    <t>Sales Operations: Fixed Promotion Period &amp; POSM</t>
  </si>
  <si>
    <t xml:space="preserve">Payments for promotions: promo slots, posters, advertisements, etc. These promo payments are usually part of the contracts </t>
  </si>
  <si>
    <t>It can be payments to retailers for promotions running on both temporary and permanent basis</t>
  </si>
  <si>
    <t>Sales Operations: Temp Promotion Period &amp; POSM</t>
  </si>
  <si>
    <t>Sales Operations: Fixed Shelf Space/Visibility</t>
  </si>
  <si>
    <t>Payments to the retail for share of shelf and location of shelf</t>
  </si>
  <si>
    <t xml:space="preserve">Listing/slotting fee for maintaining space on shelves/maintaining product data in system, maintaining product space in warehouse. </t>
  </si>
  <si>
    <t>Sales Operations: Fixed Distribution fee</t>
  </si>
  <si>
    <t>Payments to the retail for product availability on shelf (ie, for number and variety of SKU)</t>
  </si>
  <si>
    <t>amount charged by and paid to the Retailers for creating/maintaining space for products on its store shelves</t>
  </si>
  <si>
    <t>Sales Operations: Vending contracts</t>
  </si>
  <si>
    <t>Fixed distribution fee for the vending channel retailers</t>
  </si>
  <si>
    <t>Listing/slotting fee for maintaining space on vending machines</t>
  </si>
  <si>
    <t>Sales Operations: Temp Promotion &amp; POSM</t>
  </si>
  <si>
    <t>Payments for the promotions at retail (promo slots, advertisements, etc), that arise as opportunity (ie, not pre-agreed in contracts)</t>
  </si>
  <si>
    <t>Temporary placement of POPM materials</t>
  </si>
  <si>
    <t>Sales Operations: bonus</t>
  </si>
  <si>
    <t>Target achievement bonus: volume bonus and compliance with contract bonus (eg, no Out of Stock, SKU variety, maintained shelf space %, etc).</t>
  </si>
  <si>
    <t>incentives for retailers related to building volumes, achieving certain targets of sales</t>
  </si>
  <si>
    <t>incentives related to building volumes, achieving certain targets of sales</t>
  </si>
  <si>
    <t>Sales Operations: Listing fees (new SKU)</t>
  </si>
  <si>
    <t>Payment to trade for the introduction of a NEW brand or SKU (shelf space, database update, etc)</t>
  </si>
  <si>
    <t xml:space="preserve">Listing/slotting fee from retailer for creating space on shelves/entering product data in system, creating space product in warehouse. </t>
  </si>
  <si>
    <t xml:space="preserve">Listing/slotting fee from distributor for creating space on shelves/entering product data in system, creating space product in warehouse. </t>
  </si>
  <si>
    <t>Distributor Compensation</t>
  </si>
  <si>
    <t>Distributor compensations: stock write-off on distributor warehouse compensation, promotional activities, distributor motivational programs etc.</t>
  </si>
  <si>
    <t>Discount to distributor</t>
  </si>
  <si>
    <t>Price discounts to the distributor</t>
  </si>
  <si>
    <t>Retail/KA contracting</t>
  </si>
  <si>
    <t>Contracting fees to the point of sales</t>
  </si>
  <si>
    <t>Compensation on current stock to distributor due to retail price reduction</t>
  </si>
  <si>
    <t>Pricing discount</t>
  </si>
  <si>
    <t>Cash discount and Quantity discount for Wholes sales to reduce end consumer price</t>
  </si>
  <si>
    <t>Price discount for wholesales to increase volume and reduce end consumer price</t>
  </si>
  <si>
    <t>&gt;</t>
  </si>
  <si>
    <t>This is the GL account for output tax. In this case, only tax codes with “Output Tax” category is allowed, but you usually don’t post to this account directly.</t>
  </si>
  <si>
    <t>NA</t>
  </si>
  <si>
    <t>Cash payment or gift for retailer to reduce end consumer price</t>
  </si>
  <si>
    <t>&lt;</t>
  </si>
  <si>
    <t>This is the GL account for input tax. In this case, only tax codes with “Input Tax” categoryis allowed, but you usually don’t post to this account directly.</t>
  </si>
  <si>
    <t>Gift or voucher to consumer</t>
  </si>
  <si>
    <t>Gift or voucher to consumer to increase volume sales</t>
  </si>
  <si>
    <t>Listing/visibility fees by Gratis</t>
  </si>
  <si>
    <t>Display fee pay to retailer in tobacco products</t>
  </si>
  <si>
    <t>Listing/visibility fees</t>
  </si>
  <si>
    <t>Cash or gift to Retailers to increase product visibility</t>
  </si>
  <si>
    <t>Incentive pay to retailer for products visibility</t>
  </si>
  <si>
    <t>Trading rewards agreement</t>
  </si>
  <si>
    <t>Awards for wholesales</t>
  </si>
  <si>
    <t>Loyalty programs for retailers</t>
  </si>
  <si>
    <t>Awards for retailers</t>
  </si>
  <si>
    <t>Distributor fee</t>
  </si>
  <si>
    <t>Distributor compensation</t>
  </si>
  <si>
    <t>Incentive pay to distributo, booking via SRT not through SD</t>
  </si>
  <si>
    <t xml:space="preserve">Fees paid to distributor to maintain field force (salaries, cars, fuel, etc.). </t>
  </si>
  <si>
    <t>Listing / Visibility Fees</t>
  </si>
  <si>
    <t>Payment for distributor to cover listing fee paid to the Retailers (mainly R Kiosk) for services to increase brand and/or product visibility</t>
  </si>
  <si>
    <t>Payment to distributor for contracts with Horeca on which we agree to pay a fee in order to have products placed on their shelves.</t>
  </si>
  <si>
    <t>Payment to distributor for covering costs of planogram changes in KA</t>
  </si>
  <si>
    <t>Retail Allowances</t>
  </si>
  <si>
    <t>Trade volume incentive program: volume target based performance program for retailers settled with gift vouchers</t>
  </si>
  <si>
    <t>Trade POPMs Placement Fees - PERMANENT</t>
  </si>
  <si>
    <t>Decision Tree</t>
  </si>
  <si>
    <t>"TRADE CONTRACTS".  Contract with tobacconist and retailer, in wich JTI pays a fee in order to have: : - Strategic assortment - Out of Stock prevention - Planogram implementation - PoS materials placement -ITC acceptance. Trade contracts have been activated several years ago, they work in synergy with Principal's shelves program in order to support JTI Italia commission base. Through a selective PoS clusterization at national level, JTI will further strengthen trade partnership and protect SOV on a strategic panel of PoS, leveraging on “pay for services” approach.</t>
  </si>
  <si>
    <t xml:space="preserve">Contracts with retailers containng multiple services, whitin the nuetrality principles of local legislation </t>
  </si>
  <si>
    <t>"Leisure TOP POS". Contract with tobacconist and retailer, in wich JTI pays a fee in order to have: - Strategic assortment - Out of Stock prevention - Planogram implementation - PoS materials placement -ITC acceptance. Trade contracts have been activated several years ago, they work in synergy with Principal's shelves program in order to support JTI Italia commission base. Through a selective PoS clusterization at national level, JTI will further strengthen trade partnership and protect SOV on a strategic panel of PoS, leveraging on “pay for services” approach.</t>
  </si>
  <si>
    <t xml:space="preserve">Incentives paid to retailer in order to increase JTI product visibility </t>
  </si>
  <si>
    <t>Italy PR Progam 2018 -The framework of the project is aimed at, on one hand, enhancing JTI Partner Stature, leveraging on an appealing and user-friendly web platform for Trade vouchers.  JTI does not purchase goods but gifts vouchers under strict rules to tobacconists. Once the vouchers are redeemed by tobacconists, then the vendor invoice JTI for the nominal value of the coupon. The program is directly sustatined by 1799</t>
  </si>
  <si>
    <t>Incentives paid to retailer  to reward their collaboration.</t>
  </si>
  <si>
    <t>Incentives paid to distributor</t>
  </si>
  <si>
    <t>Distribution fees paid to Logista booked through SD</t>
  </si>
  <si>
    <t>Distribution fees paid to Logista. Manual adjustments</t>
  </si>
  <si>
    <t>Retailer fees (contract) GRE</t>
  </si>
  <si>
    <t>Multi year Contractual agreements with Retailers on which we agree to pay a certain fee - in the areas of share of facing and portfolio depth contract with Retailers on which we agree to pay a fee for a certain planogram on JTI or third party back walls.
- Visibility fees, Facings (Payments to retail for share of shelf and location of shelf)
- Full Variety of the agreed SKUs (Payments to retail for product availability on shelf)
- Payments to retailers for promotions including promo slots, posters, advertisements, etc, these payments are usually part of the contracts
(No Listing Fees and Not KPI related)</t>
  </si>
  <si>
    <t>502205 BTLTrade/MerchAllowancesPOPMPlacement-PermOutdoor</t>
  </si>
  <si>
    <t xml:space="preserve">Standard fee, contactual agreement paid to Retailer for Share of Shelf, Facings and other promotional activities.
Share of facing and portfolio depth contract with Retailers on which we agree to pay a fee for a certain planogram on JTI or third party back walls. Contracts are annual or multi-year agreements
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Contracts are annual or multi-year agreements. </t>
  </si>
  <si>
    <t>Key Accounts fees (contract) GRE</t>
  </si>
  <si>
    <t>Multi year Contractual agreements with Key Accounts on which we agree to pay a certain fee - in the areas of share of facing and portfolio depth contract with Retailers on which we agree to pay a fee for a certain planogram on JTI or third party back walls.
- Visibility fees, Facings (Payments to retail for share of shelf and location of shelf)
- Full Variety of the agreed SKUs (Payments to retail for product availability on shelf)
- Payments to retailers for promotions including promo slots, posters, advertisements, etc, these payments are usually part of the contracts
(No Listing Fees and Not KPI related)</t>
  </si>
  <si>
    <t>Wholesale services (personnel) GRE</t>
  </si>
  <si>
    <t>Reward program based on fulfillment of certain conditions by wholesalers' personnel</t>
  </si>
  <si>
    <t>Reward program based on fulfillment of certain conditions by wholesalers' personnel (amount of orders, specific targets for tele orders processing)</t>
  </si>
  <si>
    <t>Retailer fees (discount to end consumer) GRE</t>
  </si>
  <si>
    <t>Discounts given to retailers to compensate them for selling to consumers at a lower RRP than original sale. Discounts to direct customers as a price contibution. Core relates to all year round price contributions.</t>
  </si>
  <si>
    <t>Discounts given to retailers to compensate them for selling to consumers at a lower RRP than original sale. The end consumer is benefiting by purchasing a specific tobacco product with redeeming a coupon.</t>
  </si>
  <si>
    <t>Retailer performance incentives and loyalty programs (GRE)</t>
  </si>
  <si>
    <t>Target achievement bonus for retailers, can relate to volumes bonus and compiance with contract bonus (eg, no Out of Stock, SKU variety, maintained shelf space %, etc). Volume target based performance program for retailers settled with gift vouchers, accessories  or tobacco free goods, (required to be identified separately for tax purposes).</t>
  </si>
  <si>
    <t>Performance increntives to Retailers for meeting specific performance indicators mostly volume based.</t>
  </si>
  <si>
    <t>Wholesaler performance incentives (push volume programs) GRE</t>
  </si>
  <si>
    <t>Target achievement bonus for wholesalers, can relate to volumes bonus and compiance with contract bonus (eg, no Out of Stock, SKU variety, maintained shelf space %, etc). Volume target based performance program for retailers settled with gift vouchers, accessories  or tobacco free goods, (required to be identified separately for tax purposes).</t>
  </si>
  <si>
    <t>Performance increntives to Wholesales for "pushing" retailers in order to meet specific performance indicators mostly volume based.
They don’t sell to end consumers.</t>
  </si>
  <si>
    <t>Retailer Rental fees for Shelf space, visibility and listing (CYMA)</t>
  </si>
  <si>
    <t>Listing or slotting allowance/fee is the amount charged by and paid to the Retailers for services to increase brand and/or product visibility as per agreements such as: -
- Creating or maintaining space for a product on its store shelves
- Creating or maintaining space for the product in its warehouse
- Entering or maintaining the product data in retailer's systems including programming computers to recognise the product's bar code(s)
- Specific shelf positions
- Planograms
- Backwalls
- Exclusivity fees
- Vending fees</t>
  </si>
  <si>
    <t>Rental fees to retailers and vending machine owners so as to list products, planogram and secure shelf space.</t>
  </si>
  <si>
    <t>Distributor KPIs for volume incentives (CYMA)</t>
  </si>
  <si>
    <t>Deductions given by JTI to our Distributor / Wholesaler that are booked through SD. These are incentives paid to wholesale/distributor related to building volumes, achieving certain levels of sales</t>
  </si>
  <si>
    <t>Distributor KPIs incentive for volume targets</t>
  </si>
  <si>
    <t>Retailer POPM placement fees (CYMA)</t>
  </si>
  <si>
    <t>Fees paid to a Retailer to allow JTI to place POPM materials in and outside of shops on a TEMPORARY basis. This should be separated from the cost of producing and installing materials which should be accounted for as a marketing expense. Temporary should be understood as less than 12 months.</t>
  </si>
  <si>
    <t>Fees paid to a Retailer to allow JTI to place POPM materials in and outside of shops on a TEMPORARY basis.</t>
  </si>
  <si>
    <t>Retailers, Key Accounts fees for Volume performance incentives (CY)</t>
  </si>
  <si>
    <t>Contracts with Retailers and Key accounts (Airports), for volume performance incentives based on specific targets.</t>
  </si>
  <si>
    <t>Contracts with Retailers and Key accounts (Airports), for volume performance incentives.</t>
  </si>
  <si>
    <t>Retailer price discounts on specific purchased quantity (CYMA)</t>
  </si>
  <si>
    <t>Volume incentives to Retailers with price promotional price discount (buy x outers get .. Packs free), with specific targets and time.</t>
  </si>
  <si>
    <t>Wholesaler price discounts on specific purchased quantity (MLT)</t>
  </si>
  <si>
    <t>Volume incentives to Wholesale with price promotional price discount (buy x outers get .. Packs free), with specific targets and time.</t>
  </si>
  <si>
    <t>Distributor Price Discounts or Rebates (CYMA)</t>
  </si>
  <si>
    <t xml:space="preserve">Deductions given by JTI to our Distributor / Wholesaler that are booked through SD. These are incentives paid to wholesale/distributor related to guarantee a certain level of profit especially after tax or price change which was affects distributor inventory. Discounts are usually offered on a short-term or promotional basis. </t>
  </si>
  <si>
    <t>Leisure Trade Allowance</t>
  </si>
  <si>
    <t>Horeca and event listing fees</t>
  </si>
  <si>
    <t>Based on decision tree new JTIO has been selected</t>
  </si>
  <si>
    <t>Alternative Account in CoA "JTAT": 763510
Description: MA: Regal-/Automatenlisting, Werbeflächen</t>
  </si>
  <si>
    <t>TME</t>
  </si>
  <si>
    <t>ongoing external third party maintenance of field force IT-system including daily TM routing optimization</t>
  </si>
  <si>
    <t>Alternative Account in CoA "JTAT": 763530
Description: MA: Verkaufs-/Marketing-Datenermittlung</t>
  </si>
  <si>
    <t>Vending Advertising</t>
  </si>
  <si>
    <t>Front Panel Advertising Fee</t>
  </si>
  <si>
    <t>Alternative Account in CoA "JTAT": 763520
Description: MA: Werbung auf Verkaufsautomaten</t>
  </si>
  <si>
    <t>Telemetry data fee</t>
  </si>
  <si>
    <t>RLP</t>
  </si>
  <si>
    <t xml:space="preserve">Vouchers (Cash equivalent) for retailers monthly planogram implementation performance </t>
  </si>
  <si>
    <t>Logistics</t>
  </si>
  <si>
    <t>Infoservice &amp; Lottomail-Trade communication of new brand launches, product changes, LEPs and de-listings to all 5.600 trade partners = tobacconist</t>
  </si>
  <si>
    <t>Merch. fixed Contracts JTI</t>
  </si>
  <si>
    <t>placement of POSM;planograms;implementation of shelf system</t>
  </si>
  <si>
    <t>Key Account</t>
  </si>
  <si>
    <t>Key Account Listing fees</t>
  </si>
  <si>
    <t>Distribution Fee</t>
  </si>
  <si>
    <t xml:space="preserve">Distribution fee pay to Key account customer through SD. </t>
  </si>
  <si>
    <t xml:space="preserve">Deduction paid by JTI to Key account customer for distribution fee. </t>
  </si>
  <si>
    <t xml:space="preserve">Discount or Incentive paid to Key account customer through SD. </t>
  </si>
  <si>
    <t xml:space="preserve">Special partnership level based discounts given to direct customers (retailers), as part of negotiation agreement. 
This is pay through SD module. 
Should we have separate GL for Retail Allowance SD module. </t>
  </si>
  <si>
    <t>Trade reward agreement</t>
  </si>
  <si>
    <t>Incentive paid to a retailer as a reward for meeting certain performance criteria or discount according to agreement i.e. monthly rebate, annual rebate</t>
  </si>
  <si>
    <t xml:space="preserve">Incentive paid to a retailer as a reward for meeting certain performance criteria i.e. monthly rebate. 
This payment is short-payment from customer (Off-invoice). </t>
  </si>
  <si>
    <t>Stock management/Visibility fee</t>
  </si>
  <si>
    <t xml:space="preserve">Incentive paid to a retailer to secure shelf space. </t>
  </si>
  <si>
    <t>Wholesaler/Distributor discount</t>
  </si>
  <si>
    <t>Discount to wholesaler. 
It's Non-SD process due to Thailand is direct model and use TME to invoice for DSO model. Then perform monthly posting for TME information.</t>
  </si>
  <si>
    <t xml:space="preserve">Discount paid to wholesaler for their operation and margin. </t>
  </si>
  <si>
    <t>Trade Program</t>
  </si>
  <si>
    <t xml:space="preserve">Trade program to retailer. 
Non-SD process by manual posting information from TME to SAP on monthly basis. </t>
  </si>
  <si>
    <t>Trade program to retailer.</t>
  </si>
  <si>
    <t>Non-return Payment</t>
  </si>
  <si>
    <t>Non-return payment paid to Direct Key account customer</t>
  </si>
  <si>
    <t xml:space="preserve">Deduction paid by JTI to Key account customer for non-return damage product. </t>
  </si>
  <si>
    <t>Data sharing fee</t>
  </si>
  <si>
    <t xml:space="preserve">Data sharing paid to direct key account customer </t>
  </si>
  <si>
    <t>Sales information data sharing and EDI pay to Key account customer.</t>
  </si>
  <si>
    <t>Visibility fee/lisitng fee</t>
  </si>
  <si>
    <t>New Store Opening fee pay to Key account customer (CVS or chain customer)</t>
  </si>
  <si>
    <t>New Product listing fee</t>
  </si>
  <si>
    <t xml:space="preserve">Listing fee pay to customer to list in new product. 
SKU can be identified but there is no route to SKU level from PR/PO. </t>
  </si>
  <si>
    <t>Revenue reduction TITP offset to amount recorded in gross sales related to free goods, booked through SD</t>
  </si>
  <si>
    <t>South Africa &amp; Namibia</t>
  </si>
  <si>
    <t>Vending fees</t>
  </si>
  <si>
    <t>Credits passed to ensure that Vending machine list product at RRP.</t>
  </si>
  <si>
    <t>Payment to retailers for information provided to consumers regarding JTI products, that supports product visibility. Direct contracts with Key Accounts for Trade Information program</t>
  </si>
  <si>
    <t>Key Account Fees</t>
  </si>
  <si>
    <t>Agreements with Key Accounts (Gas Stations, Airports and major supply chains) to list JTI SKUs and allocate and certain share of facings and branding activities to JT products</t>
  </si>
  <si>
    <t>Sales Operations: Bonus (Distributor)</t>
  </si>
  <si>
    <t>Target achievement bonus for distributors, can relate to volumes bonus and compiance with contract bonus (eg, no Out of Stock, SKU variety, maintained shelf space %, etc)</t>
  </si>
  <si>
    <t>Temporary price reductions</t>
  </si>
  <si>
    <t>Temporary price reductions given to retailers in exchange for reducing the end consumer selling price, booked through SD</t>
  </si>
  <si>
    <t>Cash Discounts</t>
  </si>
  <si>
    <t>Cash discounts offered to strategic grocery partners (1% off invoice), contractually agreed.</t>
  </si>
  <si>
    <t>Pricing Corrections</t>
  </si>
  <si>
    <t>Regularizations of customer accounts in case of price differences between customer purchase order and JTI system (i.e. delayed information of price changes to customer, price maintenance error in JTI system).</t>
  </si>
  <si>
    <t>Fees paid to the Distributor based on a pre-agreed (contractually) value per M applied to all shipments from JTI to the Distributor.  The aim of maintaining a pre-defined margin, distributing JTI product to wholesalers. This is done manually "off invoice".non-SD.</t>
  </si>
  <si>
    <t>Market = DRC.  Distributor paid manually, outside of SD, base on invoice from Distributor</t>
  </si>
  <si>
    <t>Fees paid to the Distributor based on a pre-agreed (contractually) value per M applied to all shipments from the Distributor to wholesalers (based on IMS).  This is done manually "off invoice".non-SD.</t>
  </si>
  <si>
    <t>Fees paid to the Distributor based on a pre-agreed (contractually) value per M applied to all shipments from JTI to the Distributor.  This Distributor needs to provide certain information as agreed with JTI.  This includes client lists, sales performance nationally, channels and regions in which they operated.</t>
  </si>
  <si>
    <t>Fees paid to distributors to perform selling activities, enlist new wholesalers and accounts in areas where our products are not yet listed. This is based on a $/M fee and contractually agreed.  Handled outside of SD.</t>
  </si>
  <si>
    <t>Market Group - SECA (Zambia).  Distributor paid manually, outside of SD, base on invoice from Distributor.  We have just recently re-entered the market and therefore part of the Distribution fee is based on extending our customer base and reach</t>
  </si>
  <si>
    <t>Trade loyalty programs</t>
  </si>
  <si>
    <t xml:space="preserve">Credits processed to Distributor's account to compensate them for the landed cost of FG's provided to wholesalers as part of volume target based trade reward programs. </t>
  </si>
  <si>
    <t>Market Group SECA (Market DRC and MZ). Consideration paid to a customer in the form of a credit on an account.  Not relating to sales/mkt/product info, but to free goods</t>
  </si>
  <si>
    <t>Trade BS development</t>
  </si>
  <si>
    <t xml:space="preserve">Credits processed to Distributor's account to compensate them for the landed cost of FG's used to place stock in new outlets and provide to new recruits/accounts. </t>
  </si>
  <si>
    <t>Market Group SECA (Market DRC). Consideration paid to a customer in the form of a credit on an account.  Not relating to sales/mkt/product info, but to free goods</t>
  </si>
  <si>
    <t>Trade shows/workshops</t>
  </si>
  <si>
    <t>Refunds/Credit to Distributor's account to refund them for costs relating to the hosting of wholesaler/retailer workshops in order to introduce JTI and it's brands and/or new introductions.  The costs could include venue hire, catering, etc.</t>
  </si>
  <si>
    <t>Market Group SECA (Market DRC).  - The purpose of the workshops is to get new wholesaler or retailer customers and/or increase volume distribution to these customers.</t>
  </si>
  <si>
    <t xml:space="preserve">Credits processed to Distributor's account to compensate them for the landed cost of FG's used in JTI promos to wholesalers (e.g. buy 2 get one carton free) in order to achieve a certain margin down the line and also a predetermined price to the consumer. </t>
  </si>
  <si>
    <t>Market Group SECA (Market Zambia). Service being provided relate to distribution to new locations.</t>
  </si>
  <si>
    <t>Market Group - SECA ( Mozambique).  Distributor paid manually, outside of SD, base on invoice from Distributor.  We have just recently re-entered the market and therefore part of the Distribution fee is based on extending our customer base and reach</t>
  </si>
  <si>
    <t xml:space="preserve">Market Group SECA (Market MZ). The service relate to distribution as it relates to increasing distribution volumes to wholesalers, therefore mapped to distribution allowance </t>
  </si>
  <si>
    <t xml:space="preserve">Market Group SECA (Market's Angola, and Mauritius).  The service relate to distribution as it relates to increasing distribution volumes to wholesalers, therefore mapped to distribution allowance </t>
  </si>
  <si>
    <t xml:space="preserve">Market Group SECA (Market's Angola, and La Reunion).  The service relate to distribution as it relates to increasing distribution volumes to wholesalers, therefore mapped to distribution allowance </t>
  </si>
  <si>
    <t xml:space="preserve">Market Group SECA (Market La Reunion). The service relate to distribution as it relates to increasing distribution volumes to wholesalers, therefore mapped to distribution allowance </t>
  </si>
  <si>
    <t>TITP (included in gross sales, booked through SD)</t>
  </si>
  <si>
    <t>Loyalty programs for wholesales (also sell to end consumer)</t>
  </si>
  <si>
    <t>POPM Placement Fees - PERMANENT</t>
  </si>
  <si>
    <t>Payments to retailers for promotions including promo slots, posters, advertisements, etc, these payments are usually part of the contracts _PERMANENT</t>
  </si>
  <si>
    <t>Quarterly distributor performance based bonus</t>
  </si>
  <si>
    <t>Fee for merchandising service</t>
  </si>
  <si>
    <t>Key Account Logistics Fee</t>
  </si>
  <si>
    <t>Fee paid to key accounts related to logistics (compensated through distributor)</t>
  </si>
  <si>
    <t>Trade margin compensation</t>
  </si>
  <si>
    <t>Compensation payment to distributor to provide retailer (KA) who is buying from them with a higher than usual margin</t>
  </si>
  <si>
    <t>Contracts with Key accounts, Retailers on which we agree to pay a fee in order to have products placed on their shelves. This could include exact information on the visibility or could be an entry fee to list our products. The main purpose of the contracts is to increase number of SKUs and JTI volume.</t>
  </si>
  <si>
    <t>Bonus (Retailer)</t>
  </si>
  <si>
    <t xml:space="preserve">Target achievement bonus for retailers relate to volumes bonus </t>
  </si>
  <si>
    <t>Consumer Allowances</t>
  </si>
  <si>
    <t>Discounts given to Retailers (invoiced through distributor) with the intention to reduce End Consumer selling price on sale of products (tactical, promo or technical price discounting)</t>
  </si>
  <si>
    <t>310018 Consumer Allowance Manual Adjustment</t>
  </si>
  <si>
    <t>Manual SRT used for booking.</t>
  </si>
  <si>
    <t>Logista ( the distributor) buys JTI product and distributes them from warehouses to the Tobacconist. JTI invoices to Logista the invoice price reducing distribution fee. Contractually agreed.</t>
  </si>
  <si>
    <t>Logista</t>
  </si>
  <si>
    <t>Prompt Payment Discount</t>
  </si>
  <si>
    <t>Cash discount given for prompt payment</t>
  </si>
  <si>
    <t>Inmediate customer payment although having payment terms for later payment, retailer/wholesaler can discount up to 1,4% from his invoice amount.</t>
  </si>
  <si>
    <t>Consumer Allowances – SD / Distributor / Wholesaler / Freight Allowances – SD</t>
  </si>
  <si>
    <t>Trade Allowances for promotions as temporary price reductions and discounts for customer typology</t>
  </si>
  <si>
    <t>Temporary price reduction: to reduce end consumer selling price
Customer typology: to guarantee certain level of profit margin to trade - not related to end-consumer</t>
  </si>
  <si>
    <t>TITP Allowances – SD</t>
  </si>
  <si>
    <t>Trade Incentive Tobacco Product Allowance</t>
  </si>
  <si>
    <t xml:space="preserve">With the objective to maintain brand competitiveness in certain segments TITPs are agreed for certain purchase volume.
Vending operator payments in form of TITPs. </t>
  </si>
  <si>
    <t>Discount adjustment for price differences</t>
  </si>
  <si>
    <t>Commercial Agreements</t>
  </si>
  <si>
    <t>Trade discounts given to retailer or wholesaler for commercial agreements relating to reaching objectives of certain level of JTI stock rotation or sales volumes</t>
  </si>
  <si>
    <t>Agreement for discounts in case of reaching the objective of certain level of JTI stock rotation and sales volume of JTI products.</t>
  </si>
  <si>
    <t>-Fees paid in cash to clientes for visibility services. The payment of these fees allow JTI to have an specific planogram, space and install Furnitures or Vending Machines in those spaces. 
- The Vending Machine maintenance fee is an allowance to the operators because is an expense absorb by JTI.
- Cost of the furnitures installed in the shops. (furnitures and Vending Machines are not under POPM definition).</t>
  </si>
  <si>
    <t>Vending Agreements</t>
  </si>
  <si>
    <t>Visibility agreements with clients and vending machine operators. As part of the vending machine agreements with the operators JTI pays on behalf of them the maintenance of the machines. This includes:
- Fees paid in cash to clients for visibility services, the payment of these fees allows JTI to have a specific planogram, space and install furnitures or vending machines in those spaces
- The Vending Machine maintenance fee is an allowance to the operators because is an expense absorbed by JTI
- Cost of the furnitures installed in the shops (furnitures and vending machines are not under POPM definition)</t>
  </si>
  <si>
    <t xml:space="preserve">-Fees paid in cash to clientes for visibility services. The payment of these fees allow JTI to have an specific planogram, space and install Furnitures or Vending Machines in those spaces. 
</t>
  </si>
  <si>
    <t xml:space="preserve">
- Cost of the furnitures installed in the shops. (furnitures and Vending Machines are not under POPM definition).</t>
  </si>
  <si>
    <t>Portugal has a forestaling practice. JTI SA finances Logista for the excise tax paid in advance for the FG introducing into consumption ealier then their normal operation. Logista charges JTI SA the warehousing cost and ocasionally charges interest when they finance the forestaling operation.</t>
  </si>
  <si>
    <t>yes</t>
  </si>
  <si>
    <t>Logista ( the distributor)  buys JTI product and distributes them from warehouses to the Tobacconist. JTI invoices to Logista the invoice price reducing distribution fee. Contractually agreed.</t>
  </si>
  <si>
    <t>Loyalty Programs</t>
  </si>
  <si>
    <t xml:space="preserve">Loyalty program focused in pay for performance considering the following KPIs: Volume, portfolio depth and growth (No contract). </t>
  </si>
  <si>
    <t>Distribution Agreement</t>
  </si>
  <si>
    <t>Distribution Agreements based volume increase (contractually agreed).</t>
  </si>
  <si>
    <t>Agreements with key accounts on which they agree to provide us a set data of consumer and sales information.</t>
  </si>
  <si>
    <t>KA Fees</t>
  </si>
  <si>
    <t>Agreements with key accounts on which they agree to provide us a set data of consumer and sales information</t>
  </si>
  <si>
    <t>KA</t>
  </si>
  <si>
    <t>Agreements with key accounts on which they agree to list JTI SKUs, agree to a certain share of facings and branding activities when they occur</t>
  </si>
  <si>
    <t>Vending Fees</t>
  </si>
  <si>
    <t>Vending Contracts with VM Owners securing a pre-agreed number of slots. Contracts are annual or multi-year agreements.</t>
  </si>
  <si>
    <t>Share of facing and portfolio depth contracts with Retailers on which we agree to pay a fee for a certain planogram on JTI or third party back walls. Contracts are annual or multi-year agreements.</t>
  </si>
  <si>
    <t>Volume growth Fees</t>
  </si>
  <si>
    <t>Contracts that covers for a pre-agreed volume growth/SOM. Also includes tactical deals on new launches and certain SKU with the objective to give visibility or increase volume.</t>
  </si>
  <si>
    <t>Duty Free Markets</t>
  </si>
  <si>
    <t>1799</t>
  </si>
  <si>
    <t>307015   Distrib. allowance</t>
  </si>
  <si>
    <t>Distribution fee (delivery costs - warehousing) to distributor</t>
  </si>
  <si>
    <t>2101</t>
  </si>
  <si>
    <t>307018   Dist Comm Man Adj</t>
  </si>
  <si>
    <t>2300</t>
  </si>
  <si>
    <t>1275</t>
  </si>
  <si>
    <t>Multipacks discount</t>
  </si>
  <si>
    <t>Cash discount</t>
  </si>
  <si>
    <t>308070   Cust /Dist Bank Fees</t>
  </si>
  <si>
    <t>Bank garantee (credit line security) cost sharing</t>
  </si>
  <si>
    <t>308018 Trade Allowances ManA</t>
  </si>
  <si>
    <t>Errors in postings in 2017, now corrected</t>
  </si>
  <si>
    <t>308011 Trade Allowances SD</t>
  </si>
  <si>
    <t>Volume target incentives</t>
  </si>
  <si>
    <t>SlsPOP Data Customer</t>
  </si>
  <si>
    <t>Sales statistics from retailer</t>
  </si>
  <si>
    <t>Trd shelf</t>
  </si>
  <si>
    <t>Permanent space rental paid to retailer to allow JTI to place POPM in store</t>
  </si>
  <si>
    <t>Listing fee, product visibility paid to retailer</t>
  </si>
  <si>
    <t>Trd display</t>
  </si>
  <si>
    <t>Margin compensation paid to retailer as per agreement</t>
  </si>
  <si>
    <t>Trd activity</t>
  </si>
  <si>
    <t>Temporary space rental paid to retailer to allow JTI to place POPM in store</t>
  </si>
  <si>
    <t>Price-offs</t>
  </si>
  <si>
    <t>Discount given to retailer to reduce end-consumer selling price</t>
  </si>
  <si>
    <t>Cigarette shipment for trade fairs</t>
  </si>
  <si>
    <t>IPA</t>
  </si>
  <si>
    <t>Price compensation with distributor for products sold in different channel at different price</t>
  </si>
  <si>
    <t>312010 Indirect Price Allowance</t>
  </si>
  <si>
    <t>Immediate Payment Discount</t>
  </si>
  <si>
    <t>Discount given to customers (retailers and distributors) for immediate payment. Booked through SD.</t>
  </si>
  <si>
    <t>n/a</t>
  </si>
  <si>
    <t>Distribution allowance</t>
  </si>
  <si>
    <t>Quantity/Volume allowances (rebates given to Distributors on a quarterly basis through credit notes)</t>
  </si>
  <si>
    <t>Sales/Marketing information</t>
  </si>
  <si>
    <t>Data collection allowances (rebates given to Distributors on a quarterly basis through credit notes)</t>
  </si>
  <si>
    <t>Compensation agreements with Distributor on a range of products (Buckets, Winston Mega Box,…) to maintain certain profit margin</t>
  </si>
  <si>
    <t>Amber Leaf Track &amp; Trace (Warehousing and related cost of shipment preparation)</t>
  </si>
  <si>
    <t>Compensation agreements with Wholesalers on a range of products to maintain certain profit margin</t>
  </si>
  <si>
    <t>Logistic fees paid to our Wholesalers</t>
  </si>
  <si>
    <t xml:space="preserve">Pay for performance </t>
  </si>
  <si>
    <t>Listing contracts with supermarkets chains, petrol stations, etc (fees depends on  performance)</t>
  </si>
  <si>
    <t>Trade distribution</t>
  </si>
  <si>
    <t>Listing contracts with supermarkets chains, petrol stations. etc (fixed fees)</t>
  </si>
  <si>
    <t>Permanent Trade POPM</t>
  </si>
  <si>
    <t xml:space="preserve">Placement of permenent POPM in Tobacco channel  </t>
  </si>
  <si>
    <t>Trade shelf</t>
  </si>
  <si>
    <t xml:space="preserve">Retailer allowance </t>
  </si>
  <si>
    <t>Independent retailers Incentive plan for meeting certain criterias (visibility, volume, SoM, etc). Paid to Visa cards issued on JTI request by bank</t>
  </si>
  <si>
    <t>Listing/Visibility fees</t>
  </si>
  <si>
    <t>Listing contracts with supermarkets chains,</t>
  </si>
  <si>
    <t>Placement of JTI furniture in Night shops, Tobacco and Border shops, etc</t>
  </si>
  <si>
    <t xml:space="preserve">Listing contracts with petrol stations, organized border shops </t>
  </si>
  <si>
    <t>Trade vending</t>
  </si>
  <si>
    <t>Payments to trade (customers)for securing a new brand / SKU or maintaining an existing brand / SKU in vending.</t>
  </si>
  <si>
    <t xml:space="preserve">Trade POPMs placement fee - non permanent </t>
  </si>
  <si>
    <t>Payments to trade (customers)for maintaining specific positions selected by JTI for Point of Placement Material for specified period.
Also includes loyalty schemes for keeping POPM in place.</t>
  </si>
  <si>
    <t>Trade Listing</t>
  </si>
  <si>
    <t xml:space="preserve">Trade Incentives </t>
  </si>
  <si>
    <t>Trade incentives paid to customers for meeting contractually agreed performance measures for a general trade appeal program.</t>
  </si>
  <si>
    <t>Trade activity</t>
  </si>
  <si>
    <t xml:space="preserve">Payments to trade (customers)for securing specific periods of activity for JTI. </t>
  </si>
  <si>
    <t>Fixed POS Fee</t>
  </si>
  <si>
    <t>Payments to trade (customers)which enables JTI to secure a permanent position inside an outlet for Point Of Placement Material.</t>
  </si>
  <si>
    <t>Trade planogram</t>
  </si>
  <si>
    <t>Trade vending visibility</t>
  </si>
  <si>
    <t>Payments to trade (customers)for renting advertising space on vending machines</t>
  </si>
  <si>
    <t xml:space="preserve">Trade incentive </t>
  </si>
  <si>
    <t>Temporary trade incentives for achieving specific targets in Night shops and Tobacco channels</t>
  </si>
  <si>
    <t>Payments to trade (customers)for maintaining JTIs planogram in a pre agreed position for a specified period as well as introduction of a new SKUs</t>
  </si>
  <si>
    <t>Listing contracts withkey accounts linked to performance</t>
  </si>
  <si>
    <t>Collaboration agrements with wholesalers aimed at raising product visibility</t>
  </si>
  <si>
    <t>Returned invoices  SD</t>
  </si>
  <si>
    <t>Returned invoices from customers due to price reduction.</t>
  </si>
  <si>
    <t xml:space="preserve">The most appropriate new GL account for the expenditure item.
</t>
  </si>
  <si>
    <t>611 Sales Discounts (-)</t>
  </si>
  <si>
    <t>Returns invoices  Non-SD</t>
  </si>
  <si>
    <t>Non-SD GL Account for price reduction.</t>
  </si>
  <si>
    <t xml:space="preserve">The most appropriate new GL account for the expenditure item. This account is dedicated to possible accrual and Non-SD invoice postings.
</t>
  </si>
  <si>
    <t>Incentives for Distributor Sales Force SD</t>
  </si>
  <si>
    <t>Allowances stemming from programs given to distributor sales force to increase JTI sales</t>
  </si>
  <si>
    <t>Incentives for Distributor Sales force Non-SD</t>
  </si>
  <si>
    <t>Non-SD GL Account for Distributor Sales force activities</t>
  </si>
  <si>
    <t>Incentives for Retailers SD</t>
  </si>
  <si>
    <t>Allowances given to provide our visibility and increase JTI sales at Retailers, Militaries, Wholesalers, etc.</t>
  </si>
  <si>
    <t>Incentives for Retailers Non-SD</t>
  </si>
  <si>
    <t xml:space="preserve">Non-SD GL Account for allowances given to provide our visibility and increase JTI sales at Retailers, Militaries, Wholesalers, etc. </t>
  </si>
  <si>
    <t>Letter of Guarantees Non-SD</t>
  </si>
  <si>
    <t>Letter of Guarantee commissions charged to JTI by KA Retailers and Wholesalers.</t>
  </si>
  <si>
    <t>612 Other discounts (-)</t>
  </si>
  <si>
    <t>Incentives for Distributors SD</t>
  </si>
  <si>
    <t>Distributor Incentive Programs</t>
  </si>
  <si>
    <t>Incentives for Distributors Non-SD</t>
  </si>
  <si>
    <t>Non-SD GL Account for Distributor Incentives Programs</t>
  </si>
  <si>
    <t>Support Programs for Distributor's-SD</t>
  </si>
  <si>
    <t>Distributor Support Programs</t>
  </si>
  <si>
    <t>Support Programs for Distributors Non-SD</t>
  </si>
  <si>
    <t>Non-SD GL Account for Distributor Support Programs</t>
  </si>
  <si>
    <t>Premium for Key Accounts SD</t>
  </si>
  <si>
    <t>Year End Trade Allowances for Key Account's according to sales achievement.</t>
  </si>
  <si>
    <t>Premium for Key Accounts Non-SD</t>
  </si>
  <si>
    <t>Non-SD GL Account for Year End Trade Allowances for Key Account's</t>
  </si>
  <si>
    <t>Support Team work</t>
  </si>
  <si>
    <t>Merchandising Organization for awareness and availability at sales points. (at Retailers &amp; Key Account's)</t>
  </si>
  <si>
    <t>760 Marketing, Sales And Distribution Expenses</t>
  </si>
  <si>
    <t>Support Team work &amp; Activities</t>
  </si>
  <si>
    <t>Sales promoting activities to raise consumers' awareness of our products.</t>
  </si>
  <si>
    <t>Penetration &amp; Listing</t>
  </si>
  <si>
    <t>Penetration and Listing at Retailers.</t>
  </si>
  <si>
    <t>Shelf positioning</t>
  </si>
  <si>
    <t>Shelf positioning at Key Account points, Retailers, Wholesalers</t>
  </si>
  <si>
    <t>Concession</t>
  </si>
  <si>
    <t>New entry fee to place our display unit at Retailers</t>
  </si>
  <si>
    <t>New entry fee to place our display unit at Key Accounts</t>
  </si>
  <si>
    <t>Loyalty</t>
  </si>
  <si>
    <t>Loyalty payments to retailers, Key Accounts to place and keep our display units.</t>
  </si>
  <si>
    <t>Sales/Marketing Information</t>
  </si>
  <si>
    <t>Migros B2B System Usage</t>
  </si>
  <si>
    <t>Gift invoices</t>
  </si>
  <si>
    <t>Invoices of the gifts which are distributed to retailers through Benim Bayim via a points-collecting-mechanism and/or offline gifts distributed on special occasions such as Mother's Day, Father's Day, Bairam etc.</t>
  </si>
  <si>
    <t>Discount invoices of distributors</t>
  </si>
  <si>
    <t>Invoices of the discounts paid to retailers for some campaigns under Benim Bayim umbrella and invoices of distributor employee incentives</t>
  </si>
  <si>
    <t>Portal hosting, operating, maintenance, support &amp; development</t>
  </si>
  <si>
    <t>Invoices of hosting, operating, maintenance, support &amp; development, program management, licences and other costs of Benim Bayim portal</t>
  </si>
  <si>
    <t>The most appropriate new GL account for the expenditure item.</t>
  </si>
  <si>
    <t>The most appropriate new GL account for the expenditure item. This account is dedicated to possible accrual and Non-SD invoice postings.</t>
  </si>
  <si>
    <t>Volume target based loyalty program setteled with cash.</t>
  </si>
  <si>
    <t>Incentive paid to a retailer where a service is being provided.</t>
  </si>
  <si>
    <t>Incentive paid to distributor.</t>
  </si>
  <si>
    <t>A gift is given to the end consumer to bay a JTI product and purchased by a third party.</t>
  </si>
  <si>
    <t>Incentive paid to third party.</t>
  </si>
  <si>
    <t>Display fee in Gratis. Paid for in free cigarettes - gross sales value is recorded and so this is 100% discount</t>
  </si>
  <si>
    <t xml:space="preserve">Listing or slotting allowance/fee is the amount charged by and paid to the Retailers for services to increase brand and/or product visibility as per agreements such as: -
- Creating or maintaining space for a product on its store shelves
- Creating or maintaining space for the product in its warehouse
- Entering or maintaining the product data in retailer's systems including programming computers to recognise the product's bar code(s)
- Specific shelf positions
- Planograms
- Backwalls
- Exclusivity fees
- Vending fees
This can also include loyalty programs for retailers which are either redeemable for cash (or other credit items (eg, gift certificates, gift cards, etc)), tobacco goods or non-tobacco goods (eg, from a catalogue) where such gifts are distributed by a third party and then reimbursed by JTI. Where gifts are purchased in advance by JTI, this is not an allowance and should be booked in COGS. </t>
  </si>
  <si>
    <t>Fees paid to a Retailer to allow JTI to place POPM materials in and outside of shops on a PERMANENT basis. This should be separated from the cost of producing and installing materials which should be accounted for as a marketing expense. Permanent should be understood as 12 months or longer (retailer interruption of a maximum of once per quarter and outage of maximum 1 month).</t>
  </si>
  <si>
    <t>Trade POPMs Placement Fees - TEMPORARY</t>
  </si>
  <si>
    <t>Volume Bonuses</t>
  </si>
  <si>
    <t>The bonuses given to the retailer based on the achieved volume as defined in the contract.</t>
  </si>
  <si>
    <t>Coverage bonus</t>
  </si>
  <si>
    <t>Bonus for achieving agreed coverage %.</t>
  </si>
  <si>
    <t>Fee for data exchange</t>
  </si>
  <si>
    <t>Fee to distibutor for the data it supplies</t>
  </si>
  <si>
    <t xml:space="preserve">Bonus for Sales to Trade achievements </t>
  </si>
  <si>
    <t>Trade POPM In Perm</t>
  </si>
  <si>
    <t>Payments to Wholesale/Retail for displaying closets, money trays, displays etc. 1 year at least.</t>
  </si>
  <si>
    <t>Trade POPM In Non-Perm</t>
  </si>
  <si>
    <t>Payments to Wholesale/Retail for displaying advertisement poster, displays, closets etc. about 4 month</t>
  </si>
  <si>
    <t>Trade Distribution</t>
  </si>
  <si>
    <t>Slotting (accordance on agreed positioning, assortment, etc.)/ Listing fees/ placement on shelf</t>
  </si>
  <si>
    <t>Trade Vending</t>
  </si>
  <si>
    <t>Payments for the slotting/positioning for vending machines</t>
  </si>
  <si>
    <t>Trade Vending Visibility</t>
  </si>
  <si>
    <t>Payments for advertisement/visibility (posters, movies, etc.) for vending machines</t>
  </si>
  <si>
    <t>Trade Volume</t>
  </si>
  <si>
    <t xml:space="preserve">Special offers Volumes for Trade fair activities </t>
  </si>
  <si>
    <t>502550 Marketing Expenses</t>
  </si>
  <si>
    <t>Trade BS Development</t>
  </si>
  <si>
    <t>Payments to trade for achieving distribution gains and obtaining information:
- if the wholesaler uses its own telesales to acquire new retailers who didn´t list our product before,
- if the wholesaler delivers a list of potential new retailers,
- if the wholesaler distributes our products in areas where we are not represented with our own field force</t>
  </si>
  <si>
    <t>Trade Activity</t>
  </si>
  <si>
    <t>Payments to trade for Gantries and advertisement/positioning, special activities/incentives</t>
  </si>
  <si>
    <t>Fees for listing of new Launches</t>
  </si>
  <si>
    <t xml:space="preserve">Logistic Compensation (customer related), e.g. if shipment for Edeka, Rewe goes to their central warehouse further distribution by themselfs (special agreements) </t>
  </si>
  <si>
    <t>Trade Discount (customer related), special agreements on volume (discount directly deducted in Invoice)</t>
  </si>
  <si>
    <t>Direct Debit Discount</t>
  </si>
  <si>
    <t>341200 Cash Discounts - SD</t>
  </si>
  <si>
    <t>GVN Discount for all resellers (only CIG business)</t>
  </si>
  <si>
    <t>Brand Introduction Allowance</t>
  </si>
  <si>
    <t>Launch Discount</t>
  </si>
  <si>
    <t>currently not used</t>
  </si>
  <si>
    <t>Tobacco Discount (volume related)</t>
  </si>
  <si>
    <t>Tobacco Scale Discount</t>
  </si>
  <si>
    <t>Cigar Discount (volume related)</t>
  </si>
  <si>
    <t>Invoice Discount RRP business (customer related)</t>
  </si>
  <si>
    <t>Special Discount (e.g. First Order, Trade margin compensation)</t>
  </si>
  <si>
    <t>Quarterly Rebate for package disposal</t>
  </si>
  <si>
    <t>Monthly Rebate (customer and volume related), once a month discounts are being reimbursed in total</t>
  </si>
  <si>
    <t>EP Discount Online</t>
  </si>
  <si>
    <t>Freight Allowances</t>
  </si>
  <si>
    <t>EP Freight Discount - free freight for online purchase</t>
  </si>
  <si>
    <t>311010 Brand Introduction Allowance</t>
  </si>
  <si>
    <t>Shelves rental</t>
  </si>
  <si>
    <t xml:space="preserve">contracts/ fees paid to the retail through the Distributor to place POPM materials and for visibility , listing fees </t>
  </si>
  <si>
    <t>Contracts include multiple aspects (POPM/ visibility ..) which are not easy distinguishable</t>
  </si>
  <si>
    <t>Listing fees</t>
  </si>
  <si>
    <t>Fees paid to healthcare authorities in UAE and Kuwait through the distributor to register and renew the products and yearly renewal</t>
  </si>
  <si>
    <t>Trade activity &amp; incentives</t>
  </si>
  <si>
    <t>incentives paid to the distributr related to sales target</t>
  </si>
  <si>
    <t>1-2-1 activity - FOC</t>
  </si>
  <si>
    <t>FOC provided during 1-2-1 activities</t>
  </si>
  <si>
    <t xml:space="preserve">TME </t>
  </si>
  <si>
    <t>Fees related to the implementation of the TME software</t>
  </si>
  <si>
    <t>HoReCa fees</t>
  </si>
  <si>
    <t>contracts/ fees paid to the HoReCa through the Distributor for visibility, exclusivity, the right to activate (1-2-1) , POSM..</t>
  </si>
  <si>
    <t>Contracts kept wide to include multiple aspects (POPM/ visibility/ exclusivity ...) which are not easy distinguishable</t>
  </si>
  <si>
    <t xml:space="preserve">contracts/ fees paid to the retail  to place POPM materials and for visibility , listing fees </t>
  </si>
  <si>
    <t>contracts/ fees paid to the HoReCa for visibility, exclusivity, the right to activate (1-2-1) , POSM..</t>
  </si>
  <si>
    <t>Slotting / Listing / Visibility Fees</t>
  </si>
  <si>
    <t>Contracts with Key accounts &amp; Retailers on which we agree to pay a fee in order to have products placed on their shelves. Each contract has a portion of payment for visibility and availability (meaning lease fee for shelves to put products) by store type and space which is usally fixed amount per pacing and some contracts have a variable amount up to perfomance. The main purpose of the contracts is to make our product avaible on contracted stores and contracts are annual or multi-year agreements.</t>
  </si>
  <si>
    <t>Lease fee to customers to maintain spaces for JTI product in the shelves based on contract including visibility fess (space showing our key visiual with light usually on the top of backwall)</t>
  </si>
  <si>
    <t>Trade Information Program</t>
  </si>
  <si>
    <t>Agreements with key accounts on which they agree to provide us a set data of POS information with fixed amount based on contracts</t>
  </si>
  <si>
    <t>Fees related to the procurement and provision of sales information about tobacco product incluing competitors' products, paid to Distributor or Retailer</t>
  </si>
  <si>
    <t>Exclusive venue fee/Lease fee to put vending machine in venue</t>
  </si>
  <si>
    <t>Payments to trade (customers) for the exclusive sale of cigarettes in the venue (so called image shops) or lease fee of putting our vending machine in the venue with sales exclusivity (JTIK pays monthly lease fee for the space of vending machine which is owned by JTIK and the trade pays lease fee of our vending machine monthly based on a contract)</t>
  </si>
  <si>
    <t xml:space="preserve">Venue fee with exclusive sale of JTI product </t>
  </si>
  <si>
    <t>Military sales_credit card fee</t>
  </si>
  <si>
    <t xml:space="preserve">Credit card fee upon sales to military agency to sell JTI products </t>
  </si>
  <si>
    <t>As JTIK sells products to military agency and agency sells products in Military while getting credit card fee from JTIK</t>
  </si>
  <si>
    <t>Freight allowances given to customers (Key accounts) - JTI pays for transportation of goods as JTI delivers products in KA HQ warehouses</t>
  </si>
  <si>
    <t>Freight allowance to CVS HQ as JITK delivers product to their HQ warehouses and they deliver to each store from HQ warehouses</t>
  </si>
  <si>
    <t>Fees paid to distributors field force to drive monthly volume target.The payment is on monthly basis, accordance to monthly target achievement and contractually agreed. Booked manually.</t>
  </si>
  <si>
    <t>Fees paid to distributors field force to drive monthly volume target.The payment is on monthly basis, accordance to monthly target achievement and contractually agreed. Booked through GR/IR</t>
  </si>
  <si>
    <t>ROI</t>
  </si>
  <si>
    <t>Fees paid to distributors as a compensation to their unprofitable operating location which have lower volume and bigger geographical rural area. Annual contract agreement, distributors are guaranteed a return of % for their capital investment to business. Guaranteed return % are based on different geographical areas (8% Peninsular M'sia; 15% Sarawak; 20% Sabah)</t>
  </si>
  <si>
    <t>Fees paid to distributors as a compensation to their unprofitable operating location which have lower volume and bigger geographical rural area. Booked through GR/IR</t>
  </si>
  <si>
    <t>KA distributor fees</t>
  </si>
  <si>
    <t>Fees paid to distributors for their services of delivering and servicing on Key Accounts outlets. The payment is on monthly basis and distributors does not make margin out of the volume to these outlets. Booked manually.</t>
  </si>
  <si>
    <t>Fees paid to distributors for their services of delivering and servicing on Key Accounts outlets. The payment is on monthly basis and distributors does not make margin out of the volume to these outlets. Booked through GR/IR</t>
  </si>
  <si>
    <t>Manual adjustment ( Accrual for Distributor Incentive) : Detailed description as per mentioned above</t>
  </si>
  <si>
    <t>Manual adjustment ( Accrual for Distributor Incentive) : Detailed description as per mentioned above. Booked through GR/IR</t>
  </si>
  <si>
    <t>Manual adjustment ( Accrual for ROI) : Detailed description as per mentioned above</t>
  </si>
  <si>
    <t>Manual adjustment ( Accrual for ROI) : Detailed description as per mentioned above. Booked through GR/IR</t>
  </si>
  <si>
    <t>Manual adjustment ( Accrual for KA Dis'n fees) : Detailed description as per mentioned above</t>
  </si>
  <si>
    <t>Manual adjustment ( Accrual for KA Dis'n fees) : Detailed description as per mentioned above. Booked through GR/IR</t>
  </si>
  <si>
    <t>Trade discount to general trade within the industry is to ensure sufficient stock weight at retail, optimum distribution for key SKUs as well as for JTI to remain competitive. Booked manually.</t>
  </si>
  <si>
    <t>Trade discount to general trade within the industry is to ensure sufficient stock weight at retail, optimum distribution for key SKUs as well as for JTI to remain competitive. Booked through GR/IR.</t>
  </si>
  <si>
    <t xml:space="preserve">Payment to retailer for permanently (more than one year) display of POPM </t>
  </si>
  <si>
    <t>Payment to retailer for permanently (more than one year) display of POPM.  Booked through GR/IR</t>
  </si>
  <si>
    <t>Temporary Trade POPM</t>
  </si>
  <si>
    <t xml:space="preserve">Payment to retailer for Temporary display of POPM </t>
  </si>
  <si>
    <t>Payment to retailer for Temporary display of POPM. Booked through GR/IR</t>
  </si>
  <si>
    <t>Retainer Fees</t>
  </si>
  <si>
    <t>Retainer fees for Leisure channel</t>
  </si>
  <si>
    <t>Retainer fees for Leisure channel. Booked through GR/IR</t>
  </si>
  <si>
    <t>Retainer fees for Key account</t>
  </si>
  <si>
    <t>Retainer fees for Key account. Booked through GR/IR</t>
  </si>
  <si>
    <t>Trade Reward</t>
  </si>
  <si>
    <t>Reward point to retailer which allow them to redeem gift/cash voucher</t>
  </si>
  <si>
    <t>Reward point to retailer which allow them to redeem gift/cash voucher. Booked through GR/IR</t>
  </si>
  <si>
    <t>Payment to retailer for introduction of new brand/SKU - KPI base</t>
  </si>
  <si>
    <t>Payment to retailer for introduction of new brand/SKU - KPI base. Booked through GR/IR</t>
  </si>
  <si>
    <t>Payment to Distributor for achieved in certain KPI (eg. volume)</t>
  </si>
  <si>
    <t>Payment to Distributor for achieved in certain KPI (eg. volume). Booked through GR/IR</t>
  </si>
  <si>
    <t xml:space="preserve">Based on matching of actual spending and the new JTIO explanation. </t>
  </si>
  <si>
    <t>Subsidy for KA, Retailer, Wholesaler and Retailer sales and orders portal</t>
  </si>
  <si>
    <t>Display Allowances for competitor display shelf</t>
  </si>
  <si>
    <t>Display Allowance for POPM</t>
  </si>
  <si>
    <t>Display Allowances for JTI display shelf</t>
  </si>
  <si>
    <t>Volume Incentives</t>
  </si>
  <si>
    <t>Listing Fees for new products</t>
  </si>
  <si>
    <t>Distributor Discount - based on agreed ROS</t>
  </si>
  <si>
    <t xml:space="preserve">TITP </t>
  </si>
  <si>
    <t>Subsidy for Retailer, Wholesaler and Retailer Bank Fees</t>
  </si>
  <si>
    <t>Sub-Saharan Africa+</t>
  </si>
  <si>
    <t>Our Entity is not yet on SAP. Technical go live is scheduled for Aug 2018. 
 Free goods (tobacco) is given to customer (Distributor). SRT will be raised to offset the free goods from Sales and Cost of Sales, and the transfer the cost of the free goods to Commissions. TITP still forms part of volume for the period.
This is also applicable to Other West African markets (linked to 1799 entity). Total TITP budget for West Africa as at June LE is  $3.0MM</t>
  </si>
  <si>
    <t>Based on New CoA structure</t>
  </si>
  <si>
    <t>This occurs in the Guinea Market (linked to 1799). Based on the review of postings in SAP, we noticed that for each sale of Aspen an amount of $0.5/KU is deducted from the sales price.</t>
  </si>
  <si>
    <t>Amount charged by and paid to the Retailers for services to increase brand and/or product visibility as per agreements:                                            -Creating or maintaining space for a product on its store shelves                                 - Exclusivity Fees</t>
  </si>
  <si>
    <t>Amount charged by and paid to the Retailers for services to increase brand and/or product visibility as per agreements:                                            -Creating or maintaining space for a product on its store shelves                                                            - Exclusivity Fees</t>
  </si>
  <si>
    <t xml:space="preserve">Fees paid to a Retailer to allow JTI to place POPM materials in and outside of shops on a PERMANENT basis. </t>
  </si>
  <si>
    <t xml:space="preserve">Fees paid to a Retailer to allow JTI to place POPM materials in and outside of shops on a TEMPORARY basis. </t>
  </si>
  <si>
    <t>incentives paid to wholesale/distributor related to building volumes, achieving certain levels of sales, to guarantee a certain level of profit, etc</t>
  </si>
  <si>
    <t xml:space="preserve">Discounts given to or intended for the Retailer on sale of products either directly or indirectly that are booked through SD. </t>
  </si>
  <si>
    <t>The allowance relates to discounts provided by the distributor to the retailer - the distributor invoices JTI the difference between original and promotional selling price - retailer is beneficiary</t>
  </si>
  <si>
    <t>Distributor Partnet Personnel Sales Incentive for retailers</t>
  </si>
  <si>
    <t>Distributor Partnet Personnel Sales Incentive for wholesalers and distributors</t>
  </si>
  <si>
    <t>Price Differences</t>
  </si>
  <si>
    <t xml:space="preserve">This is to capture different price between SAP and DSD (JTIK local system to deal with GT customers while SAP records sales by JTIK branch not by GT outlet). As an example, if JTIK got a return of obsolete SKU whose selling price is not available in SAP, we use most similar SKU in SAP which can result variance between SAP and invoice so this transaction has been posted based on sales order to offset the variance. </t>
  </si>
  <si>
    <t>Plug</t>
  </si>
  <si>
    <t>Russia is $43MM non SD and noted as non-SKU, to be clarified</t>
  </si>
  <si>
    <t>Sales Adj</t>
  </si>
  <si>
    <t>Price</t>
  </si>
  <si>
    <t xml:space="preserve">Price </t>
  </si>
  <si>
    <t>Non-Brand / PT</t>
  </si>
  <si>
    <t>Brand / PT</t>
  </si>
  <si>
    <t>Non-SKU</t>
  </si>
  <si>
    <t>SKU</t>
  </si>
  <si>
    <t>Non SD</t>
  </si>
  <si>
    <t>Row Labels</t>
  </si>
  <si>
    <t>(blank)</t>
  </si>
  <si>
    <t>Grand Total</t>
  </si>
  <si>
    <t>Column Labels</t>
  </si>
  <si>
    <t>Total Sum of SD</t>
  </si>
  <si>
    <t>Sum of SD</t>
  </si>
  <si>
    <t>Total Sum of Non-SD</t>
  </si>
  <si>
    <t>Sum of Non-SD</t>
  </si>
  <si>
    <t>Other Sales</t>
  </si>
  <si>
    <t>Gross Revenue (Russia)</t>
  </si>
  <si>
    <t>New MA</t>
  </si>
  <si>
    <t>Total Sum of New MA</t>
  </si>
  <si>
    <t>Sum of New MA</t>
  </si>
  <si>
    <t>Annual regularization of the Logista distribution fees (Contractually agreed):
-Distribution fees regularized with actual sales 
-Other rebates contractually agreed with Logista (annual rebate, general rebate and portfolio rationalization rebate)</t>
  </si>
  <si>
    <t>Ad-hoc programs related to  volume target for distributors, wholesalers.</t>
  </si>
  <si>
    <t>Ad-hoc programs regarding target achievement bonus for distributors, wholesalers.</t>
  </si>
  <si>
    <t>Brand Ambassador progarms. JTI pays to retailers to employ hostesses (brand ambassadors) that work in tobacco shops and proactively approach customers. The program is build on the basis of Pay for Performance, so the fee payed to retailer is directly dependent on volume of JTI products sold by this retailer to the end consumer.</t>
  </si>
  <si>
    <t>Incentive paid to wholesalers for achieving volume target, posting is done through SRT, not through SD.</t>
  </si>
  <si>
    <t>Cash Discount Tobacco (given for immediate payment)</t>
  </si>
  <si>
    <t>Fees paid to Key Accounts (wholesalers and distributors) based on volume increase (contractually agreed).</t>
  </si>
  <si>
    <t>Discounts paid to key accounts (wholesalers and distributors) contractually agreed (as percentages) or ad-hod programs flowing through SD module, depending on the volume target.</t>
  </si>
  <si>
    <t>Andorra</t>
  </si>
  <si>
    <t>Discounts</t>
  </si>
  <si>
    <t>Discounts given to our direct client (Retailers) on the invoices. % of discounts setted on commercial agreements based on client size and by brand.</t>
  </si>
  <si>
    <t>Discounts given to our direct client (Distributors) on the invoices. % of discounts setted on commercial agreements based on client size and by brand.</t>
  </si>
  <si>
    <t>Technical price discounts to effectively execute/achieve business strategy
- Price discounts made to compensate retailer for lower end consumer selling price</t>
  </si>
  <si>
    <t>Technical price discounts to effectively execute/achieve business strategy
- Price discounts given to retailers to increase volume of sales to retailer</t>
  </si>
  <si>
    <t xml:space="preserve">Quantity discount granted to some customers on specific products (Gryson temporary promotion such as 10+1 for free). Booked as TITP is SD with 100% discount applied to gross sales value. </t>
  </si>
  <si>
    <t xml:space="preserve">E-commerce SNUS - Snusbolaget.se campaignes. This is payment for campaigns on Snusbolagets website and its basically payment for visibility when we launch a new product </t>
  </si>
  <si>
    <t xml:space="preserve">Discount agreements with Trade for RMC/OTH/SNUS. Credit note sent to Distributor (reimbursement for providing discounts to retailers) based on IMS volumes 1st of every month. KA Reitan and Axfood invoicing us directly monthly. </t>
  </si>
  <si>
    <t>Field Sales - Regional Micro Programms &amp; Pay to Play Committed coolers. Products are initially sold to distributor by JTI. The distributor  then rewards retailers for having Snus collers in store with free products. The distributor invoices JTI for these free products.</t>
  </si>
  <si>
    <t>Price Discount given to retailers to compensate for increased RRP price (allow retailers to purchase at old price for a set period) booked through SD. When there is a market price increase, the Retailer will buy the inventory at the new price (on invoice) with a discount [net impact is the old price] then sell to consumer at the new RRP. Thus the beneficiary is the Retailer.</t>
  </si>
  <si>
    <t>Price Discount given to Wholesalers to compensate for increased RRP price (allow wholesalers to purchase at old price for a set period) booked through SD. When there is a market price increase, the wholesaler will buy the inventory at the new price (on invoice) with a discount [net impact is the old price] then sell to consumer at the new RRP. Thus the beneficiary is the Wholesaler.</t>
  </si>
  <si>
    <t>Distributor Cash Discount - based on agreed ROS - received for upfront payment</t>
  </si>
  <si>
    <t>Price Discount given to retailers to compensate for increased RRP price (allow retailers to purchase at old price for a set period) not booked through SD. When there is a market price increase, the Retailer will buy the inventory at the new price (on invoice) with a discount [net impact is the old price] then sell to consumer at the new RRP. Thus the beneficiary is the Retailer.</t>
  </si>
  <si>
    <t>Price Discount given to Wholesalers to compensate for increased RRP price (allow wholesalers to purchase at old price for a set period) not booked through SD. When there is a market price increase, the wholesaler will buy the inventory at the new price (on invoice) with a discount [net impact is the old price] then sell to consumer at the new RRP. Thus the beneficiary is the Wholesaler.</t>
  </si>
  <si>
    <t>NEW Allowances CoA Framework - JTIG-JTIO and Material Groups</t>
  </si>
  <si>
    <t>Market P&amp;L Line</t>
  </si>
  <si>
    <t>JTIG</t>
  </si>
  <si>
    <t>Description</t>
  </si>
  <si>
    <t>JTIO</t>
  </si>
  <si>
    <t>Material Group</t>
  </si>
  <si>
    <t>MG Short Description</t>
  </si>
  <si>
    <t>MG Long Description</t>
  </si>
  <si>
    <t>SD or Non-SD</t>
  </si>
  <si>
    <t>Consumer Allowances - (automated SD entries)</t>
  </si>
  <si>
    <t>Consumer Allowances - (manual adjustments)</t>
  </si>
  <si>
    <t>Consmr Pricediscount</t>
  </si>
  <si>
    <t>Consumer incentives - price discounts</t>
  </si>
  <si>
    <t>Payment Allowances</t>
  </si>
  <si>
    <t>Payment Allowances - (automated SD entries)</t>
  </si>
  <si>
    <t>Payment Allowances - (manual adjustments)</t>
  </si>
  <si>
    <t>Sales Allowances</t>
  </si>
  <si>
    <t>Sales/Returns Allowances - (automated SD entries)</t>
  </si>
  <si>
    <t>Sales/Returns Allowances - (manual adjustments)</t>
  </si>
  <si>
    <t>TITP Allowances - (automated SD entries)</t>
  </si>
  <si>
    <t>TITP Allowances - (manual adjustments)</t>
  </si>
  <si>
    <t>Distribution Allowances - (automated SD entries)</t>
  </si>
  <si>
    <t>Distribution Allowances - (manual adjustments)</t>
  </si>
  <si>
    <t>80151516
80151561
80151600
80151521</t>
  </si>
  <si>
    <t>Trade dist.Allowance
Trade Allowance man.
Cust/Dist bank fees
Trade distr coverage</t>
  </si>
  <si>
    <t>Trade distribution fees for distributor (KA)
Trade Allowance - manual payments
Customer / Distributor Bank Fees
Trade Business development distribution coverage fees</t>
  </si>
  <si>
    <t>80151544
80151508
80151509
80151517
80151518
80151510
80151511
80151513
80151514
80151522
80151524</t>
  </si>
  <si>
    <t>Trade vending exp
Trade shelf
Trade mainten. Fee
TradeMainFee Red VAT
TradeMainFee No VAT
Trade vending col
Trade vending vis
Trade planogram
Trade backwall
Trade activity
Trade listing</t>
  </si>
  <si>
    <t>Trade vending operating exp. excl. visibility collumn fees
Trade Shelf Space Fees
Trade maintenance fees for product distribution and listing
Trade maint. fees for product distrib.and listin Reduced VAT
Trade maint. fees for product distrib.and  listing - No VAT
Trade Vending column fees
Trade Vending visibility advertising fees
Trade Planograms fees
Trade backwalls fees
Trade new SKU intro listing fee
Trade Business development special activities</t>
  </si>
  <si>
    <t>POPM Placement Fees (PERM)</t>
  </si>
  <si>
    <t>80151500
80151501
80151512</t>
  </si>
  <si>
    <t>POPM In Permanent
POPM Out Permanent
Trade POPM display</t>
  </si>
  <si>
    <t>Trade POPM Placement Indoor permanent
Trade POPM Placement outdoor permanent
Trade Store POPM display and location fees</t>
  </si>
  <si>
    <t>POPM Placement Fees (TEMP)</t>
  </si>
  <si>
    <t>80151502
80151503</t>
  </si>
  <si>
    <t>POPM In non per
POPM Out non per</t>
  </si>
  <si>
    <t>Trade POPM Placement Indoor non permanent
Trade POPM Placement outdoor non permanent</t>
  </si>
  <si>
    <t>80151541
80151520</t>
  </si>
  <si>
    <t>Trade incentives
Trade volume</t>
  </si>
  <si>
    <t>Trade Performance incentives
Trade Business development volume growth fees</t>
  </si>
  <si>
    <t>Sales POP Data Cust</t>
  </si>
  <si>
    <t>Sales Information Purchase POP Data from Customer</t>
  </si>
  <si>
    <t>341100 Consumer allowances - SD
341108 Consumer allowances - Non-SD</t>
  </si>
  <si>
    <t>EP Online Discount</t>
  </si>
  <si>
    <t>Discount given to end consumer when purchasing EP online</t>
  </si>
  <si>
    <t>EP Online Freight Discount</t>
  </si>
  <si>
    <t>Free delivery given to end consumer when purchasing EP online</t>
  </si>
  <si>
    <t>Free delivery given to end consumer by E-commerce partner that is reimbursed by JTI</t>
  </si>
  <si>
    <t>Discount given to end consumer through E-commerce partner that is reimbursed by JTI</t>
  </si>
  <si>
    <t>End Consumer Pricing Reductions</t>
  </si>
  <si>
    <t>Discounts given to retailers to compensate them for selling to consumers at a lower price than original sale</t>
  </si>
  <si>
    <t>End ConsumerTemporary Price Reductions</t>
  </si>
  <si>
    <t>Temporary price reductions given to retailers in exchange for reducing the end consumer selling price</t>
  </si>
  <si>
    <t>Strategic Price Discounting</t>
  </si>
  <si>
    <t>This is promotional / strategic price discounting provided to the final consumers, allowing them to get products at a competitive reduced price</t>
  </si>
  <si>
    <t>Cash discount for wholesalers to reduce end consumer price</t>
  </si>
  <si>
    <t>Discounts given to retailers (invoiced through distributor) with the intention to reduce end consumer selling price</t>
  </si>
  <si>
    <t>Discount given to contracted retailers for selling JTI product at the lowest price vs. competitors</t>
  </si>
  <si>
    <t>Tactical Pricing</t>
  </si>
  <si>
    <t>This is temporary price allowance. not booked through SD, as it is based on retailer sales data not captured in SAP</t>
  </si>
  <si>
    <t>Promotional Pricing Discount</t>
  </si>
  <si>
    <t>Promotional discount on "poly" SKUs - packs with "$0.75 off" wrap/sticker, end consumer is beneficiary</t>
  </si>
  <si>
    <t>SNUS Discount</t>
  </si>
  <si>
    <t>Discounts on SNUS with aim to effect selling price to end consumer</t>
  </si>
  <si>
    <t>341200 Payment allowances - SD
341208 Payment allowances - Non-SD</t>
  </si>
  <si>
    <t>Cash discount given to retailers for immediate payment</t>
  </si>
  <si>
    <t>Cash discount given to wholesalers for immediate payment</t>
  </si>
  <si>
    <t>Cash discount given to distributors for immediate payment</t>
  </si>
  <si>
    <t>2.5% cash discount given to customers for immediate payment</t>
  </si>
  <si>
    <t>Early Payment Discount</t>
  </si>
  <si>
    <t>Cash discount (fixed amount or %), applied to retailers for paying the invoice early</t>
  </si>
  <si>
    <t>Cash discount (fixed amount or %), applied to distributors for paying the invoice early</t>
  </si>
  <si>
    <t xml:space="preserve">Cash discount for paying by direct debit </t>
  </si>
  <si>
    <t xml:space="preserve">Customer Bank Guarantees </t>
  </si>
  <si>
    <t>Bank guarantee fees charged to JTI by retailers</t>
  </si>
  <si>
    <t>Bank guarantee fees for wholesalers paid by JTI</t>
  </si>
  <si>
    <t>Bank guarantee fees paid by distributor and reimbursed by JTI</t>
  </si>
  <si>
    <t>341300 Sales/Returns allowances - SD
341308 Sales/Returns allowances - Non-SD</t>
  </si>
  <si>
    <t>Correction of retailer accounts in case of price differences between purchase order and JTI system (i.e. delayed information of price changes to customer, price maintenance error in JTI system)</t>
  </si>
  <si>
    <t>Correction of wholesaler accounts in case of price differences between purchase order and JTI system (i.e. delayed information of price changes to customer, price maintenance error in JTI system)</t>
  </si>
  <si>
    <t>JTI has been returned an obsolete SKU whose selling price is not available in SAP, the most similar SKU in SAP is used which can result in a variance between SAP and invoice so posting is made to offset the variance</t>
  </si>
  <si>
    <t>Faulty Goods</t>
  </si>
  <si>
    <t>Comensation or replacement of damaged or faulty goods. Normally, there is no physical return of a faulty good</t>
  </si>
  <si>
    <t>Fee paid to distributor in relation to damaged products, quality issues and not selllable products</t>
  </si>
  <si>
    <t>Old Stock Destruction Reimbursement</t>
  </si>
  <si>
    <t>Reimbursement to distributor for destruction of old stock</t>
  </si>
  <si>
    <t>Wholesaler is compensated at for providing stock to give to independent retailers in exchange for damaged stock or to swap out old brands for new</t>
  </si>
  <si>
    <t>Handling allowance paid to wholesalers who support our field salesforce by providing stock for them to either sell, giveaway or swap at independent retail outlets</t>
  </si>
  <si>
    <t>341400 TITP allowances - SD
341408 TITP Allowances - Non-SD</t>
  </si>
  <si>
    <t>TITP Offset</t>
  </si>
  <si>
    <t>TITP Reimbursement</t>
  </si>
  <si>
    <t>A credit note is issued to the distributor to compensate them for free products provided to retailers</t>
  </si>
  <si>
    <t>Distributor rewards retailers for having Snus collers in store with free products initially purchased from JTI. The distributor invoices JTI for these free products and is then reimbursed</t>
  </si>
  <si>
    <t>Wholesaler is compensated for providing stock given out for free to independent retailers</t>
  </si>
  <si>
    <t>TITP Quantity</t>
  </si>
  <si>
    <t>Quantity discount granted to some customers on specific products (temporary promotion such as 10+1 for free). Booked as TITP with 100% discount applied to gross sales value</t>
  </si>
  <si>
    <t>TITP Promotions</t>
  </si>
  <si>
    <t>Free cigarettes to customers for educational purpose and easier communication for new launches</t>
  </si>
  <si>
    <t>TITP Payment</t>
  </si>
  <si>
    <t>Free of charge cigarettes (FoC) are given to retailers as listing fees and to wholesalers as samples when new product is launched</t>
  </si>
  <si>
    <t>Display fee paid for in free cigarettes - gross sales value is recorded and so this is 100% discount</t>
  </si>
  <si>
    <t>341500 Distributor / Wholesaler / Freight allowances - SD
341508 Distributor / Wholesaler / Freight allowances - Non-SD</t>
  </si>
  <si>
    <t>Distributor Fees/Discounts</t>
  </si>
  <si>
    <t>Special partnership level based discounts given to distributors as part of negotiation agreement</t>
  </si>
  <si>
    <t>Percentage deduction on price that is uniform to all distributors</t>
  </si>
  <si>
    <t xml:space="preserve">Fees paid to distributors to perform selling activities and includes all the payments to distributors with the aim of maintaining a pre-defined margin </t>
  </si>
  <si>
    <t xml:space="preserve">Contractually agreed distributor stock revaluation compensation. Whenever the distributor records a capital gain (or a capital loss) on the stock in its bonded warehouses following a change in the net selling price, the gain (or loss) recorded will be shared 50/50 between the distributor and JTI  </t>
  </si>
  <si>
    <t>Fees paid to distributors as a compensation to their unprofitable operating location which have lower volume and bigger geographical area. Annual contract agreement, distributors are guaranteed a return of specified % on their capital investment. %'s are based on the geographical area</t>
  </si>
  <si>
    <t>Fees paid to distributors for distribution activities, fixed amounts per case as contractually agreed</t>
  </si>
  <si>
    <t>Payment to distributor for the rendered services as per distribution agreement rlated to Active Customer Base (ACB) Service whereby the distributor has to achieve targets on share of sales to retailers in total distributor's shipments</t>
  </si>
  <si>
    <t>Fees paid to distributors to perform selling activities, enlist new wholesalers and accounts in areas where our products are not yet listed</t>
  </si>
  <si>
    <t>Price compensation for distributor for products sold in different channels at a different price</t>
  </si>
  <si>
    <t>Reimbursement to distributor for the difference in excise tax at the moment of change of excise tax. Coveres difference in excise on the inventory at the distributor's warehouse</t>
  </si>
  <si>
    <t>Comepnsation for stock write-off at distributors warehouse</t>
  </si>
  <si>
    <t>Fees relating to forestalling practice whereby JTI finances the distributor for the excise tax paid in advance for the finsihed goods introduced into consumption ealier then their normal operation. The distributor charges JTI for the warehousing cost and ocasionally charges interest when they finance the forestaling operation</t>
  </si>
  <si>
    <t>Wholesaler Discounts</t>
  </si>
  <si>
    <t>Discounts given on reduced risk products to wholesalers</t>
  </si>
  <si>
    <t>Discounts given to wholesalers related first order discounts</t>
  </si>
  <si>
    <t>Compensation agreements with wholesalers to maintain an agreed profit margin</t>
  </si>
  <si>
    <t>Rebates</t>
  </si>
  <si>
    <t>Quarterly rebate given to wholesalers for package disposal</t>
  </si>
  <si>
    <t>Monthly rebate (volume related) given to wholesalers</t>
  </si>
  <si>
    <t>Rebate given to wholesalers based on certain agreed conditions (e.g. buy a certain level of quantity on one order for a certain brand). The rebate is given in the form of a credit note</t>
  </si>
  <si>
    <t>Rebate given to distributors based on certain agreed conditions (e.g. buy a certain level of quantity on one order for a certain brand). The rebate is given in the form of a credit note</t>
  </si>
  <si>
    <t>Volume Discounts</t>
  </si>
  <si>
    <t>Agreements with wholesalers whereby discounts are obtained dependent on volumes purchased (discount directly deducted on invoice)</t>
  </si>
  <si>
    <t>Contractually agreed discounts paid to wholesalers (as percentages), depending on volume targets</t>
  </si>
  <si>
    <t>Contractually agreed discounts paid to distributors (as percentages), depending on volume targets</t>
  </si>
  <si>
    <t xml:space="preserve">Special offers volumes given to wholeslaers when performing trade fair activities </t>
  </si>
  <si>
    <t>Volume Bonus</t>
  </si>
  <si>
    <t>Volumes achievement bonus</t>
  </si>
  <si>
    <t>Incentive paid to wholesalers for achieving volume target</t>
  </si>
  <si>
    <t>Fees paid to wholesalers based on contractulaly agreed volume increases</t>
  </si>
  <si>
    <t>Incentive paid to distributors for achieving volume target</t>
  </si>
  <si>
    <t xml:space="preserve">Incentives paid to distributors for achieving agreed quarterly sales target </t>
  </si>
  <si>
    <t>Coverage Bonus</t>
  </si>
  <si>
    <t>Bonus paid to distributor for achieving agreed coverage %</t>
  </si>
  <si>
    <t>Freight Fees</t>
  </si>
  <si>
    <t>A discount is given to retailers that come to pick up goods at the JTI warehouse by themselves (if JTI delivers goods to retailer's central warehouse no discount is applied)</t>
  </si>
  <si>
    <t>A discount is given to distributors that come to pick up goods at the JTI warehouse by themselves (if JTI delivers goods to distributor's central warehouse no discount is applied)</t>
  </si>
  <si>
    <t>Logistic compensation provided to retailer where JTI shipment goes to their central warehouse and the further distributed by them</t>
  </si>
  <si>
    <t>Logistic compensation provided to wholesaler where JTI shipment goes to their central warehouse and the further distributed by them</t>
  </si>
  <si>
    <t>Logistic fees paid to our wholesalers</t>
  </si>
  <si>
    <t>Distribution fees paid to distributors</t>
  </si>
  <si>
    <t>Distributor buys JTI tobacco products and distributes them from their warehouses to the retailers. JTI invoices to distributor the invoice price reduced by the distribution fee as is contractually agreed</t>
  </si>
  <si>
    <t>Oil price and off-shore compensation is a logistic allowance given to retailers to compensate the oil price variance and support off-shore stores transportation cost</t>
  </si>
  <si>
    <t>Reward Programs</t>
  </si>
  <si>
    <t>Reward program based on fulfillment of certain conditions by wholesalers (data access, cash payment, etc)</t>
  </si>
  <si>
    <t>Reward program focused on pay for performance considering volume, portfolio depth and growth</t>
  </si>
  <si>
    <t>Reward programs given to distributors sales force for increasing JTI product sales</t>
  </si>
  <si>
    <t>Fees paid to distributors field force to drive monthly volume target.The payment is on monthly basis, accordance to monthly target achievement and is contractually agreed</t>
  </si>
  <si>
    <t>Service Fees</t>
  </si>
  <si>
    <t>Handling, shipping and transaction cost for the services provided by distributor for online sales are reimbursed on a monthly basis</t>
  </si>
  <si>
    <t>Payment to distributor for the introduction of a new brand or SKU</t>
  </si>
  <si>
    <t>Payment made to distributors to perform merchandising activities in their distribution process to retailers</t>
  </si>
  <si>
    <t>Information services provided by distributor related to distributors operational performance, ie, stocks of the goods,  AR in respect of sales of JTI Goods by distribution chains and clients, report on sales of goods to retailers, quantity of staff (sales agents, drivers, supervisors), share % of JTI product sales in total sales of distributor, copies of financial and auditor's reports, other information as per JTI request</t>
  </si>
  <si>
    <t>Credits to distributor's account to reimburse them for costs relating to the hosting of wholesaler/retailer workshops in order to introduce JTI and it's brands and/or new introductions. The costs could include venue hire, catering, etc.</t>
  </si>
  <si>
    <t>Track &amp; trace fees related to warehousing and related cost of shipment preparation</t>
  </si>
  <si>
    <t>New Product Fees</t>
  </si>
  <si>
    <t>Payment to retailers for the introduction of a new brand or SKU (shelf space, database update, etc)</t>
  </si>
  <si>
    <t>Fees for listing of new launches</t>
  </si>
  <si>
    <t xml:space="preserve">E-commerce SNUS visibility fee. This is payment for campaigns on Snusbolagets website and its basically payment for visibility when we launch a new product </t>
  </si>
  <si>
    <t>Listing Fees</t>
  </si>
  <si>
    <t>Listing fees at retailers</t>
  </si>
  <si>
    <t>Listing contracts with supermarkets chains, petrol stations, etc (fees depends on performance)</t>
  </si>
  <si>
    <t>Fee paid to retailers for listing / displaying our products</t>
  </si>
  <si>
    <t>Incentive paid to a retailer to secure shelf space</t>
  </si>
  <si>
    <t>Contracts with retailers on which we agree to pay a fee in order to have products placed on their shelves</t>
  </si>
  <si>
    <t>Payment made to distributor to cover listing fees they pay to retailers</t>
  </si>
  <si>
    <t>Visibility Services</t>
  </si>
  <si>
    <t>Multi year contractual agreements with retailers on which we agree to pay a certain fee in exchange for visibility services such as: -
- Visibility fees, (payments to retailer for share of shelf and location of shelf)
- Full variety of the agreed SKUs (payments to retailer for product availability on shelf)
- Payments to retailers for promotions including promo slots, posters, advertisements, etc, these payments are usually part of the contracts</t>
  </si>
  <si>
    <t>Contracts with retailers on which we agree to pay a fee in order to have products placed on their shelves. Each contract has a portion of payment for visibility and availability (meaning lease fee for shelves to put products on) by store type and space which is usally fixed amount per spacing and some contracts have a variable amount up to perfomance. The main purpose of the contracts is to make our product avaible in contracted stores</t>
  </si>
  <si>
    <t>Incentive paid to retailers related to listing fees for JTI products and also related to increasing JTI prodict visibility</t>
  </si>
  <si>
    <t>Contracts with retailers on which we agree to pay a fee in order to have products placed on their shelves. This could include exact information on the visibility or could be an entry fee to list our products. The main purpose of the contracts is to increase number of SKUs and JTI volume.</t>
  </si>
  <si>
    <t>Amount charged by and paid to the retailers for services to increase brand and/or product visibility as per agreements, such as, creating or maintaining space for a product on its store shelves and exclusivity fees</t>
  </si>
  <si>
    <t>Agreements with retailers (gas stations, airports and major supply chains) to list JTI SKUs and allocate a certain share of facings and branding activities to JTI products</t>
  </si>
  <si>
    <t>Per carton discount given to contracted retailers for cost of signage, shelf space, etc</t>
  </si>
  <si>
    <t>Collaboration agrements with retailers aimed at raising product visibility</t>
  </si>
  <si>
    <t>As a reward for maintaining merchandising standards and product loyalty in retailers, JTI pays a third party who in turn buy and transfer non-cash items to retailers</t>
  </si>
  <si>
    <t>Cash or gift to retailers to increase product visibility</t>
  </si>
  <si>
    <t>Payments for sales promoting activities to raise consumers' awareness of our products</t>
  </si>
  <si>
    <t>Cash rewards to retailers for promoting JTI products to consumers</t>
  </si>
  <si>
    <t>Payment to retailers for information provided to consumers regarding JTI products, that supports product visibility</t>
  </si>
  <si>
    <t>Fees paid to retailers to allow JTI to provide shop information to customers (SPIC)</t>
  </si>
  <si>
    <t>Information service provided by key retail partner related to new brand launches, product changes and de-listings communciated to all retail partners</t>
  </si>
  <si>
    <t>Shelf Visibility</t>
  </si>
  <si>
    <t>Slotting fee paid in accordance with agreed positioning, assortment, etc</t>
  </si>
  <si>
    <t>Payments to retailers to obtain a desired shelf space / shelf position for a specified period of time.</t>
  </si>
  <si>
    <t>Payments to retailers for securing a new brand / SKU or maintaining an existing brand / SKU in vending</t>
  </si>
  <si>
    <t>Payments made to ensure that vending machines list products at recommended retail price</t>
  </si>
  <si>
    <t>Vending contracts with vending machine owners securing a pre-agreed number of slots</t>
  </si>
  <si>
    <t>Fees paid in cash to retailers for vending machine visibility services</t>
  </si>
  <si>
    <t>Exclusivity Fees</t>
  </si>
  <si>
    <t>Payments to retailers for the exclusive sale of cigarettes in a certain venue (so called image shops) or lease fee of putting our vending machine in the venue with sales exclusivity (JTI pays monthly lease fee for the space of vending machine which is owned by JTI)</t>
  </si>
  <si>
    <t>POPM - PERM - Space</t>
  </si>
  <si>
    <t>Payments to retailer to enable JTI to secure a permanent position inside an outlet for POPM</t>
  </si>
  <si>
    <t>Fees paid to a retailer to allow JTI to place POPM materials inside and outside of shops on a permanent basis</t>
  </si>
  <si>
    <t>POPM - PERM</t>
  </si>
  <si>
    <t>Payment to retailer for permanently (more than one year) display of POPM in shop</t>
  </si>
  <si>
    <t>Payments to retailers for maintaining specific positions selected by JTI for POPM for a specified period, more than 12 months</t>
  </si>
  <si>
    <t xml:space="preserve">Payments for fixed promotion periods (classified as permanent) involving promo slots, posters, advertisements, etc. </t>
  </si>
  <si>
    <t>Payments to retailer for displaying closets, money trays, displays etc, 1 year minimum</t>
  </si>
  <si>
    <t>Placement fees paid to retailers for placement of permanent POPM (gantry units)</t>
  </si>
  <si>
    <t>POPM - PERM - Loyalty</t>
  </si>
  <si>
    <t>Loyalty payments to retailers to place and keep our display units</t>
  </si>
  <si>
    <t>POPM - PERM - Vending</t>
  </si>
  <si>
    <t>Fees paid for vending advertising - front panel advertising fee</t>
  </si>
  <si>
    <t>POPM - TEMP - Space</t>
  </si>
  <si>
    <t>Fees paid to a retailer to allow JTI to place POPM materials inside and outside of shops on a temporary basis</t>
  </si>
  <si>
    <t>POPM - TEMP</t>
  </si>
  <si>
    <t xml:space="preserve">Payment to retailer for temporary display of POPM </t>
  </si>
  <si>
    <t>Payments to retailers for maintaining specific positions selected by JTI for temporary POPM for specified period, less than 12 months</t>
  </si>
  <si>
    <t>Payments for fixed promotion periods (classified as temporary) involving promo slots, posters, advertisements, etc, on a contractual basis</t>
  </si>
  <si>
    <t>Payments to retailers for displaying advertisement posters, displays, closets etc, for a period of around 4 months</t>
  </si>
  <si>
    <t>POPM - TEMP - Loyalty</t>
  </si>
  <si>
    <t>Loyalty schemes for retailers as a reward for keeping temporary POPM in place</t>
  </si>
  <si>
    <t>Retailer Discounts</t>
  </si>
  <si>
    <t xml:space="preserve">Special partnership level based discounts given to retailers as part of negotiation agreement </t>
  </si>
  <si>
    <t>Cash discounts offered to strategic retailer partners (1% off invoice), contractually agreed</t>
  </si>
  <si>
    <t>Discounts given to retailers on invoices. Discount % based on commercial agreements dependent on retailer size and by brand</t>
  </si>
  <si>
    <t>Technical price discounts to effectively execute/achieve business strategy, price discounts given to retailers to increase volume of sales to retailer</t>
  </si>
  <si>
    <t>Reimbursement to distributor for discounts given to retailers, the distributor invoices JTI the difference between original and promotional selling price, retailer is beneficiary</t>
  </si>
  <si>
    <t>Specific promotions for retailers, ie. "buy two packs get one free" for a specific promotional period</t>
  </si>
  <si>
    <t>Price discount given to retailers to compensate for an increased recommend retail/sales price (allow retailers to purchase at old price for a set period). When there is a market price increase, the retailer will buy the inventory at the new price (on invoice) with a discount [net impact is the old price] then sell to end consumer at the new recommend retail/sales price, thus the beneficiary is the retailer</t>
  </si>
  <si>
    <t>Retailer Rebates</t>
  </si>
  <si>
    <t>Rebate discount paid to retailer according to agreement i.e. monthly rebate, annual rebate</t>
  </si>
  <si>
    <t>Retailer Margin Compensation</t>
  </si>
  <si>
    <t>Reimbursement to distributor for providing retailer with a higher than usual margin as per contractual agreement</t>
  </si>
  <si>
    <t>Retailer Volumes</t>
  </si>
  <si>
    <t>Sales volumes target achievement bonus</t>
  </si>
  <si>
    <t>Yearly volume target incentive for retailers</t>
  </si>
  <si>
    <t>Volume target based performance program for retailers settled with gift vouchers</t>
  </si>
  <si>
    <t>Contracts with retailers (airports), for volume performance incentives based on specific targets</t>
  </si>
  <si>
    <t>Fees paid to retailers based on volume increases (contractually agreed)</t>
  </si>
  <si>
    <t>Payment to retailers for achievement of certain volume targets. Distributor makes payments to retailers and then JTI compensates via discount in invoice price</t>
  </si>
  <si>
    <t>JTI pays retailers to employ hostesses (brand ambassadors) that work in tobacco shops and proactively approach customers. The program is build on the basis of Pay for Performance, so the fee payed to retailer is directly dependent on volume of JTI products sold by this retailer to the end consumer</t>
  </si>
  <si>
    <t>Retailer Compliance</t>
  </si>
  <si>
    <t>Compliance achievement bonus (eg, no Out of Stock, SKU variety, maintained shelf space %, etc)</t>
  </si>
  <si>
    <t>Reward program related to contractually agreed measures such as availability of the product in retailers</t>
  </si>
  <si>
    <t>Incentive paid to a retailer as a reward for meeting certain performance criteria (not related to product visibility)</t>
  </si>
  <si>
    <t>Retailer Services</t>
  </si>
  <si>
    <t>Incentive paid to a retailer as a reward for providing certain services (not related to product visibility)</t>
  </si>
  <si>
    <t>Services provided by e-commerce retailer related to web-platform</t>
  </si>
  <si>
    <t>Retailer Reward Scheme</t>
  </si>
  <si>
    <t>Reward points which retailers can redeem for giftcards</t>
  </si>
  <si>
    <t>Retailer Incentive Agreements</t>
  </si>
  <si>
    <t>Contracts with retailers, in which JTI pays a fee related to multiple aspects such as: - 
- Strategic assortment - Out of Stock prevention 
- Planogram implementation - PoS materials placement 
- IT system services</t>
  </si>
  <si>
    <t>Retailer incentive programs aimed at supporting the achievement of commercial objectives, such as distribution, volume, brand awareness</t>
  </si>
  <si>
    <t>Retailer incentive programs with specific outlet targeting to drive JTI distribution, visibility, volume and trial, etc. The programs are mostly in short period (2-3 months) without contract. Designed with the spirit of “pay by performance”</t>
  </si>
  <si>
    <t>Retailers incentive plan for meeting certain criterias (visibility, volume, SoM, etc)</t>
  </si>
  <si>
    <t>Reimbursement to distributor for incentives paid to retailers based on agreements</t>
  </si>
  <si>
    <t xml:space="preserve">Contracts with retailers relating to fees paid for multiple services including placement of POPM materials, visibility services and listing fees </t>
  </si>
  <si>
    <t>Retailer incentive program agreements related to fixed renumeration for visibility, distribution and communication with placement of permanent and temporary POPM</t>
  </si>
  <si>
    <t>Sales Data Provision Discounts</t>
  </si>
  <si>
    <t xml:space="preserve">Discounts given to retailers for providing us with sales/inventory data </t>
  </si>
  <si>
    <t xml:space="preserve">Discounts given to distributors for providing us with sales/inventory data </t>
  </si>
  <si>
    <t>Sales Data Provision Rebate</t>
  </si>
  <si>
    <t>Rebates given to distributors (on a quarterly basis through credit notes) in exchange for providing JTI with sales data</t>
  </si>
  <si>
    <t>Sales Data Purchase Costs</t>
  </si>
  <si>
    <t>Point-of-sale data purchase cost from retailers</t>
  </si>
  <si>
    <t>Payment made to wholesalers for providing sales data</t>
  </si>
  <si>
    <t>Point-of-sale data purchase cost from distributors</t>
  </si>
  <si>
    <t xml:space="preserve">Distributor information services, including sell-in data provision (industry size, competitor sales, segmentation, SoM, etc) and sell-out data at point-of-sale </t>
  </si>
  <si>
    <t>Agreements with retailers on which they agree to provide JTI a set of data of consumer and sales information</t>
  </si>
  <si>
    <t>Sales Data Purchase Costs - Vending</t>
  </si>
  <si>
    <t>Fees paid for the provision of vending telemetry data fee</t>
  </si>
  <si>
    <t>Sales Data Access Costs</t>
  </si>
  <si>
    <t>Fee paid to use retailers sales information system</t>
  </si>
  <si>
    <t>Consumer Data Costs</t>
  </si>
  <si>
    <t>Consumers provide there contact details and information (then used in future targeted sales promotions) in exchange for money on their mobile phones. The money is transferred by an agency that is then reimbursed by JTI</t>
  </si>
  <si>
    <t xml:space="preserve">Fit </t>
  </si>
  <si>
    <t xml:space="preserve"> Objective Template</t>
  </si>
  <si>
    <t>For Whom</t>
  </si>
  <si>
    <t>Version</t>
  </si>
  <si>
    <t>FIT2</t>
  </si>
  <si>
    <r>
      <t xml:space="preserve">Input data sheet for O2C FIT2 Test Preparation for relevant for Markets testing:
HPALM case Profitability Analysis 01. "Sales Order Related COPA validations" - </t>
    </r>
    <r>
      <rPr>
        <u/>
        <sz val="11"/>
        <rFont val="Arial"/>
        <family val="2"/>
      </rPr>
      <t>01. Real business scenario from ECC</t>
    </r>
  </si>
  <si>
    <t>Controlling Power Users to liaise with O2C Logistic Power Users</t>
  </si>
  <si>
    <t xml:space="preserve">UAT Training Deck </t>
  </si>
  <si>
    <t>Updated file with results of mapping from R2R Team for All Markets.</t>
  </si>
  <si>
    <t>CO Power Users / FP&amp;A teams / CO Trainers</t>
  </si>
  <si>
    <t>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</si>
</sst>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quot;$&quot;#,##0.0_);[Red]\(&quot;$&quot;#,##0.0\)"/>
    <numFmt numFmtId="166" formatCode="#,##0.00_ ;[Red]\-#,##0.00\ "/>
    <numFmt numFmtId="167" formatCode="#,##0.0_ ;[Red]\-#,##0.0\ "/>
    <numFmt numFmtId="168" formatCode="0.0"/>
    <numFmt numFmtId="169" formatCode="_-* #,##0_-;\-* #,##0_-;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b/>
      <sz val="11"/>
      <color theme="1"/>
      <name val="Arial"/>
      <family val="2"/>
    </font>
    <font>
      <sz val="11"/>
      <name val="Arial"/>
      <family val="2"/>
    </font>
    <font>
      <sz val="20"/>
      <name val="Arial"/>
      <family val="2"/>
    </font>
    <font>
      <sz val="11"/>
      <color rgb="FFFF0000"/>
      <name val="Arial"/>
      <family val="2"/>
    </font>
    <font>
      <sz val="10"/>
      <name val="Arial"/>
      <family val="2"/>
    </font>
    <font>
      <b/>
      <sz val="11"/>
      <name val="Arial"/>
      <family val="2"/>
    </font>
    <font>
      <sz val="11"/>
      <name val="Calibri"/>
      <family val="2"/>
      <scheme val="minor"/>
    </font>
    <font>
      <sz val="8"/>
      <color theme="1"/>
      <name val="Calibri"/>
      <family val="2"/>
      <scheme val="minor"/>
    </font>
    <font>
      <sz val="18"/>
      <color theme="1"/>
      <name val="Arial"/>
      <family val="2"/>
    </font>
    <font>
      <b/>
      <sz val="14"/>
      <color theme="1"/>
      <name val="Arial"/>
      <family val="2"/>
    </font>
    <font>
      <sz val="11"/>
      <color theme="1"/>
      <name val="Arial"/>
      <family val="2"/>
    </font>
    <font>
      <b/>
      <sz val="10"/>
      <name val="Arial"/>
      <family val="2"/>
    </font>
    <font>
      <b/>
      <sz val="11"/>
      <color rgb="FFFFFFFF"/>
      <name val="Arial"/>
      <family val="2"/>
    </font>
    <font>
      <u/>
      <sz val="11"/>
      <name val="Arial"/>
      <family val="2"/>
    </font>
  </fonts>
  <fills count="19">
    <fill>
      <patternFill patternType="none"/>
    </fill>
    <fill>
      <patternFill patternType="gray125"/>
    </fill>
    <fill>
      <patternFill patternType="solid">
        <fgColor rgb="FFCBEBDD"/>
        <bgColor indexed="64"/>
      </patternFill>
    </fill>
    <fill>
      <patternFill patternType="solid">
        <fgColor rgb="FF80BFB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1" tint="0.749992370372631"/>
        <bgColor indexed="64"/>
      </patternFill>
    </fill>
    <fill>
      <patternFill patternType="solid">
        <fgColor theme="1" tint="0.89999084444715716"/>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249977111117893"/>
        <bgColor indexed="64"/>
      </patternFill>
    </fill>
  </fills>
  <borders count="7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dotted">
        <color indexed="64"/>
      </bottom>
      <diagonal/>
    </border>
    <border>
      <left style="medium">
        <color indexed="64"/>
      </left>
      <right style="medium">
        <color indexed="64"/>
      </right>
      <top/>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rgb="FF70AD47"/>
      </top>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0" fontId="8" fillId="0" borderId="0"/>
  </cellStyleXfs>
  <cellXfs count="264">
    <xf numFmtId="0" fontId="0" fillId="0" borderId="0" xfId="0"/>
    <xf numFmtId="0" fontId="5" fillId="5" borderId="2" xfId="0" applyFont="1" applyFill="1" applyBorder="1" applyAlignment="1" applyProtection="1">
      <alignment horizontal="left" vertical="center" wrapText="1"/>
      <protection locked="0"/>
    </xf>
    <xf numFmtId="0" fontId="5" fillId="4" borderId="2" xfId="0" applyFont="1" applyFill="1" applyBorder="1" applyAlignment="1" applyProtection="1">
      <alignment horizontal="left" vertical="center" wrapText="1"/>
    </xf>
    <xf numFmtId="165" fontId="5" fillId="5" borderId="2" xfId="0" applyNumberFormat="1" applyFont="1" applyFill="1" applyBorder="1" applyAlignment="1" applyProtection="1">
      <alignment horizontal="left" vertical="center" wrapText="1"/>
      <protection locked="0"/>
    </xf>
    <xf numFmtId="0" fontId="5" fillId="4" borderId="2" xfId="0" applyFont="1" applyFill="1" applyBorder="1" applyAlignment="1" applyProtection="1">
      <alignment horizontal="left" vertical="center"/>
    </xf>
    <xf numFmtId="165" fontId="5" fillId="4" borderId="2" xfId="0" applyNumberFormat="1" applyFont="1" applyFill="1" applyBorder="1" applyAlignment="1" applyProtection="1">
      <alignment horizontal="left" vertical="center" wrapText="1"/>
      <protection locked="0"/>
    </xf>
    <xf numFmtId="0" fontId="0" fillId="0" borderId="0" xfId="0" applyAlignment="1">
      <alignment horizontal="center"/>
    </xf>
    <xf numFmtId="0" fontId="2" fillId="0" borderId="0" xfId="0" applyFont="1" applyAlignment="1">
      <alignment horizontal="center"/>
    </xf>
    <xf numFmtId="166" fontId="0" fillId="0" borderId="2" xfId="0" applyNumberFormat="1" applyBorder="1"/>
    <xf numFmtId="166" fontId="0" fillId="0" borderId="0" xfId="0" applyNumberFormat="1"/>
    <xf numFmtId="0" fontId="0" fillId="9" borderId="0" xfId="0" quotePrefix="1" applyFill="1" applyAlignment="1">
      <alignment horizontal="center"/>
    </xf>
    <xf numFmtId="167" fontId="0" fillId="0" borderId="0" xfId="0" applyNumberFormat="1"/>
    <xf numFmtId="0" fontId="0" fillId="10" borderId="0" xfId="0" applyFill="1" applyAlignment="1">
      <alignment horizontal="center"/>
    </xf>
    <xf numFmtId="0" fontId="0" fillId="8" borderId="0" xfId="0" applyFill="1" applyAlignment="1">
      <alignment horizontal="center"/>
    </xf>
    <xf numFmtId="0" fontId="0" fillId="11" borderId="0" xfId="0" applyFill="1" applyAlignment="1">
      <alignment horizontal="center"/>
    </xf>
    <xf numFmtId="9" fontId="0" fillId="0" borderId="0" xfId="1" applyNumberFormat="1" applyFont="1" applyAlignment="1">
      <alignment horizontal="left"/>
    </xf>
    <xf numFmtId="0" fontId="5" fillId="5" borderId="3" xfId="0" applyFont="1" applyFill="1" applyBorder="1" applyAlignment="1" applyProtection="1">
      <alignment horizontal="left" vertical="center" wrapText="1"/>
      <protection locked="0"/>
    </xf>
    <xf numFmtId="0" fontId="5" fillId="4" borderId="3" xfId="0" applyFont="1" applyFill="1" applyBorder="1" applyAlignment="1" applyProtection="1">
      <alignment horizontal="left" vertical="center" wrapText="1"/>
    </xf>
    <xf numFmtId="0" fontId="3" fillId="4" borderId="5" xfId="0" applyFont="1" applyFill="1" applyBorder="1" applyAlignment="1" applyProtection="1">
      <alignment horizontal="left" vertical="center" wrapText="1"/>
    </xf>
    <xf numFmtId="0" fontId="5" fillId="5" borderId="6" xfId="0" applyFont="1" applyFill="1" applyBorder="1" applyAlignment="1" applyProtection="1">
      <alignment horizontal="left" vertical="center" wrapText="1"/>
      <protection locked="0"/>
    </xf>
    <xf numFmtId="0" fontId="5" fillId="4" borderId="6" xfId="0" applyFont="1" applyFill="1" applyBorder="1" applyAlignment="1" applyProtection="1">
      <alignment horizontal="left" vertical="center" wrapText="1"/>
    </xf>
    <xf numFmtId="165" fontId="5" fillId="4" borderId="6" xfId="0" applyNumberFormat="1" applyFont="1" applyFill="1" applyBorder="1" applyAlignment="1" applyProtection="1">
      <alignment horizontal="left" vertical="center" wrapText="1"/>
      <protection locked="0"/>
    </xf>
    <xf numFmtId="0" fontId="5" fillId="4" borderId="6" xfId="0" applyFont="1" applyFill="1" applyBorder="1" applyAlignment="1" applyProtection="1">
      <alignment horizontal="left" vertical="center"/>
    </xf>
    <xf numFmtId="0" fontId="5" fillId="5" borderId="7" xfId="0" applyFont="1" applyFill="1" applyBorder="1" applyAlignment="1" applyProtection="1">
      <alignment horizontal="left" vertical="center" wrapText="1"/>
      <protection locked="0"/>
    </xf>
    <xf numFmtId="0" fontId="3" fillId="4" borderId="8" xfId="0" applyFont="1" applyFill="1" applyBorder="1" applyAlignment="1" applyProtection="1">
      <alignment horizontal="left" vertical="center" wrapText="1"/>
    </xf>
    <xf numFmtId="0" fontId="5" fillId="5" borderId="9" xfId="0" applyFont="1" applyFill="1" applyBorder="1" applyAlignment="1" applyProtection="1">
      <alignment horizontal="left" vertical="center" wrapText="1"/>
      <protection locked="0"/>
    </xf>
    <xf numFmtId="0" fontId="3" fillId="4" borderId="10" xfId="0" applyFont="1" applyFill="1" applyBorder="1" applyAlignment="1" applyProtection="1">
      <alignment horizontal="left" vertical="center" wrapText="1"/>
    </xf>
    <xf numFmtId="0" fontId="5" fillId="5" borderId="11" xfId="0" applyFont="1" applyFill="1" applyBorder="1" applyAlignment="1" applyProtection="1">
      <alignment horizontal="left" vertical="center" wrapText="1"/>
      <protection locked="0"/>
    </xf>
    <xf numFmtId="0" fontId="5" fillId="4" borderId="11" xfId="0" applyFont="1" applyFill="1" applyBorder="1" applyAlignment="1" applyProtection="1">
      <alignment horizontal="left" vertical="center" wrapText="1"/>
    </xf>
    <xf numFmtId="165" fontId="5" fillId="4" borderId="11" xfId="0" applyNumberFormat="1" applyFont="1" applyFill="1" applyBorder="1" applyAlignment="1" applyProtection="1">
      <alignment horizontal="left" vertical="center" wrapText="1"/>
      <protection locked="0"/>
    </xf>
    <xf numFmtId="165" fontId="5" fillId="5" borderId="11" xfId="0" applyNumberFormat="1" applyFont="1" applyFill="1" applyBorder="1" applyAlignment="1" applyProtection="1">
      <alignment horizontal="left" vertical="center" wrapText="1"/>
      <protection locked="0"/>
    </xf>
    <xf numFmtId="0" fontId="5" fillId="4" borderId="11" xfId="0" applyFont="1" applyFill="1" applyBorder="1" applyAlignment="1" applyProtection="1">
      <alignment horizontal="left" vertical="center"/>
    </xf>
    <xf numFmtId="0" fontId="5" fillId="5" borderId="12"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xf>
    <xf numFmtId="0" fontId="4" fillId="3" borderId="14" xfId="0" applyFont="1" applyFill="1" applyBorder="1" applyAlignment="1" applyProtection="1">
      <alignment horizontal="left" vertical="center" wrapText="1"/>
    </xf>
    <xf numFmtId="0" fontId="4" fillId="7" borderId="14" xfId="0" applyFont="1" applyFill="1" applyBorder="1" applyAlignment="1" applyProtection="1">
      <alignment horizontal="left" vertical="center" wrapText="1"/>
    </xf>
    <xf numFmtId="0" fontId="4" fillId="7" borderId="15" xfId="0" applyFont="1" applyFill="1" applyBorder="1" applyAlignment="1" applyProtection="1">
      <alignment horizontal="left" vertical="center" wrapText="1"/>
    </xf>
    <xf numFmtId="0" fontId="4" fillId="2" borderId="16" xfId="0" applyFont="1" applyFill="1" applyBorder="1" applyAlignment="1" applyProtection="1">
      <alignment horizontal="left" vertical="center" wrapText="1"/>
    </xf>
    <xf numFmtId="0" fontId="3" fillId="4" borderId="21" xfId="0" applyFont="1" applyFill="1" applyBorder="1" applyAlignment="1" applyProtection="1">
      <alignment horizontal="left" vertical="center" wrapText="1"/>
    </xf>
    <xf numFmtId="0" fontId="5" fillId="5" borderId="22" xfId="0" applyFont="1" applyFill="1" applyBorder="1" applyAlignment="1" applyProtection="1">
      <alignment horizontal="left" vertical="center" wrapText="1"/>
      <protection locked="0"/>
    </xf>
    <xf numFmtId="0" fontId="4" fillId="3" borderId="13" xfId="0" applyFont="1" applyFill="1" applyBorder="1" applyAlignment="1" applyProtection="1">
      <alignment horizontal="left" vertical="center" wrapText="1"/>
    </xf>
    <xf numFmtId="0" fontId="4" fillId="3" borderId="16" xfId="0" applyFont="1" applyFill="1" applyBorder="1" applyAlignment="1" applyProtection="1">
      <alignment horizontal="left" vertical="center" wrapText="1"/>
    </xf>
    <xf numFmtId="0" fontId="5" fillId="5" borderId="5" xfId="0" applyFont="1" applyFill="1" applyBorder="1" applyAlignment="1" applyProtection="1">
      <alignment horizontal="left" vertical="center" wrapText="1"/>
      <protection locked="0"/>
    </xf>
    <xf numFmtId="0" fontId="5" fillId="5" borderId="8" xfId="0" applyFont="1" applyFill="1" applyBorder="1" applyAlignment="1" applyProtection="1">
      <alignment horizontal="left" vertical="center" wrapText="1"/>
      <protection locked="0"/>
    </xf>
    <xf numFmtId="0" fontId="5" fillId="5" borderId="10" xfId="0" applyFont="1" applyFill="1" applyBorder="1" applyAlignment="1" applyProtection="1">
      <alignment horizontal="left" vertical="center" wrapText="1"/>
      <protection locked="0"/>
    </xf>
    <xf numFmtId="0" fontId="5" fillId="5" borderId="21" xfId="0" applyFont="1" applyFill="1" applyBorder="1" applyAlignment="1" applyProtection="1">
      <alignment horizontal="left" vertical="center" wrapText="1"/>
      <protection locked="0"/>
    </xf>
    <xf numFmtId="0" fontId="5" fillId="4" borderId="7" xfId="0" applyFont="1" applyFill="1" applyBorder="1" applyAlignment="1" applyProtection="1">
      <alignment horizontal="left" vertical="center" wrapText="1"/>
    </xf>
    <xf numFmtId="0" fontId="5" fillId="4" borderId="9" xfId="0" applyFont="1" applyFill="1" applyBorder="1" applyAlignment="1" applyProtection="1">
      <alignment horizontal="left" vertical="center" wrapText="1"/>
    </xf>
    <xf numFmtId="0" fontId="5" fillId="4" borderId="12" xfId="0" applyFont="1" applyFill="1" applyBorder="1" applyAlignment="1" applyProtection="1">
      <alignment horizontal="left" vertical="center" wrapText="1"/>
    </xf>
    <xf numFmtId="0" fontId="5" fillId="4" borderId="22" xfId="0" applyFont="1" applyFill="1" applyBorder="1" applyAlignment="1" applyProtection="1">
      <alignment horizontal="left" vertical="center" wrapText="1"/>
    </xf>
    <xf numFmtId="0" fontId="4" fillId="2" borderId="13" xfId="0" applyFont="1" applyFill="1" applyBorder="1" applyAlignment="1" applyProtection="1">
      <alignment horizontal="left" vertical="center" wrapText="1"/>
    </xf>
    <xf numFmtId="0" fontId="4" fillId="6" borderId="13" xfId="0" applyFont="1" applyFill="1" applyBorder="1" applyAlignment="1" applyProtection="1">
      <alignment horizontal="left" vertical="center" wrapText="1"/>
    </xf>
    <xf numFmtId="0" fontId="4" fillId="6" borderId="16" xfId="0" applyFont="1" applyFill="1" applyBorder="1" applyAlignment="1" applyProtection="1">
      <alignment horizontal="left" vertical="center" wrapText="1"/>
    </xf>
    <xf numFmtId="165" fontId="5" fillId="4" borderId="5" xfId="0" applyNumberFormat="1" applyFont="1" applyFill="1" applyBorder="1" applyAlignment="1" applyProtection="1">
      <alignment horizontal="left" vertical="center" wrapText="1"/>
      <protection locked="0"/>
    </xf>
    <xf numFmtId="165" fontId="5" fillId="5" borderId="7" xfId="0" applyNumberFormat="1" applyFont="1" applyFill="1" applyBorder="1" applyAlignment="1" applyProtection="1">
      <alignment horizontal="left" vertical="center" wrapText="1"/>
      <protection locked="0"/>
    </xf>
    <xf numFmtId="165" fontId="5" fillId="5" borderId="8" xfId="0" applyNumberFormat="1" applyFont="1" applyFill="1" applyBorder="1" applyAlignment="1" applyProtection="1">
      <alignment horizontal="left" vertical="center" wrapText="1"/>
      <protection locked="0"/>
    </xf>
    <xf numFmtId="165" fontId="5" fillId="5" borderId="9" xfId="0" applyNumberFormat="1" applyFont="1" applyFill="1" applyBorder="1" applyAlignment="1" applyProtection="1">
      <alignment horizontal="left" vertical="center" wrapText="1"/>
      <protection locked="0"/>
    </xf>
    <xf numFmtId="165" fontId="5" fillId="4" borderId="8" xfId="0" applyNumberFormat="1" applyFont="1" applyFill="1" applyBorder="1" applyAlignment="1" applyProtection="1">
      <alignment horizontal="left" vertical="center" wrapText="1"/>
      <protection locked="0"/>
    </xf>
    <xf numFmtId="165" fontId="5" fillId="4" borderId="10" xfId="0" applyNumberFormat="1" applyFont="1" applyFill="1" applyBorder="1" applyAlignment="1" applyProtection="1">
      <alignment horizontal="left" vertical="center" wrapText="1"/>
      <protection locked="0"/>
    </xf>
    <xf numFmtId="165" fontId="5" fillId="5" borderId="12" xfId="0" applyNumberFormat="1" applyFont="1" applyFill="1" applyBorder="1" applyAlignment="1" applyProtection="1">
      <alignment horizontal="left" vertical="center" wrapText="1"/>
      <protection locked="0"/>
    </xf>
    <xf numFmtId="165" fontId="5" fillId="5" borderId="21" xfId="0" applyNumberFormat="1" applyFont="1" applyFill="1" applyBorder="1" applyAlignment="1" applyProtection="1">
      <alignment horizontal="left" vertical="center" wrapText="1"/>
      <protection locked="0"/>
    </xf>
    <xf numFmtId="165" fontId="5" fillId="5" borderId="22" xfId="0" applyNumberFormat="1"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xf>
    <xf numFmtId="0" fontId="5" fillId="5" borderId="17" xfId="0" applyFont="1" applyFill="1" applyBorder="1" applyAlignment="1" applyProtection="1">
      <alignment horizontal="left" vertical="center" wrapText="1"/>
      <protection locked="0"/>
    </xf>
    <xf numFmtId="0" fontId="5" fillId="5" borderId="18" xfId="0" applyFont="1" applyFill="1" applyBorder="1" applyAlignment="1" applyProtection="1">
      <alignment horizontal="left" vertical="center" wrapText="1"/>
      <protection locked="0"/>
    </xf>
    <xf numFmtId="0" fontId="5" fillId="5" borderId="19" xfId="0" applyFont="1" applyFill="1" applyBorder="1" applyAlignment="1" applyProtection="1">
      <alignment horizontal="left" vertical="center" wrapText="1"/>
      <protection locked="0"/>
    </xf>
    <xf numFmtId="0" fontId="5" fillId="5" borderId="20" xfId="0" applyFont="1" applyFill="1" applyBorder="1" applyAlignment="1" applyProtection="1">
      <alignment horizontal="left" vertical="center" wrapText="1"/>
      <protection locked="0"/>
    </xf>
    <xf numFmtId="0" fontId="6" fillId="5" borderId="5" xfId="0" applyFont="1" applyFill="1" applyBorder="1" applyAlignment="1" applyProtection="1">
      <alignment horizontal="left" vertical="center" wrapText="1"/>
      <protection locked="0"/>
    </xf>
    <xf numFmtId="0" fontId="6" fillId="5" borderId="8" xfId="0" applyFont="1" applyFill="1" applyBorder="1" applyAlignment="1" applyProtection="1">
      <alignment horizontal="left" vertical="center" wrapText="1"/>
      <protection locked="0"/>
    </xf>
    <xf numFmtId="0" fontId="6" fillId="5" borderId="10" xfId="0" applyFont="1" applyFill="1" applyBorder="1" applyAlignment="1" applyProtection="1">
      <alignment horizontal="left" vertical="center" wrapText="1"/>
      <protection locked="0"/>
    </xf>
    <xf numFmtId="0" fontId="6" fillId="5" borderId="21" xfId="0" applyFont="1" applyFill="1" applyBorder="1" applyAlignment="1" applyProtection="1">
      <alignment horizontal="left" vertical="center" wrapText="1"/>
      <protection locked="0"/>
    </xf>
    <xf numFmtId="165" fontId="5" fillId="4" borderId="3" xfId="0" applyNumberFormat="1" applyFont="1" applyFill="1" applyBorder="1" applyAlignment="1" applyProtection="1">
      <alignment horizontal="left" vertical="center" wrapText="1"/>
      <protection locked="0"/>
    </xf>
    <xf numFmtId="0" fontId="5" fillId="5" borderId="23" xfId="0" applyFont="1" applyFill="1" applyBorder="1" applyAlignment="1" applyProtection="1">
      <alignment horizontal="left" vertical="center" wrapText="1"/>
      <protection locked="0"/>
    </xf>
    <xf numFmtId="0" fontId="5" fillId="5" borderId="1" xfId="0" applyFont="1" applyFill="1" applyBorder="1" applyAlignment="1" applyProtection="1">
      <alignment horizontal="left" vertical="center" wrapText="1"/>
      <protection locked="0"/>
    </xf>
    <xf numFmtId="0" fontId="5" fillId="5" borderId="24" xfId="0" applyFont="1" applyFill="1" applyBorder="1" applyAlignment="1" applyProtection="1">
      <alignment horizontal="left" vertical="center" wrapText="1"/>
      <protection locked="0"/>
    </xf>
    <xf numFmtId="0" fontId="5" fillId="5" borderId="10" xfId="0" applyFont="1" applyFill="1" applyBorder="1" applyAlignment="1" applyProtection="1">
      <alignment horizontal="left" vertical="center" wrapText="1"/>
    </xf>
    <xf numFmtId="165" fontId="5" fillId="5" borderId="5" xfId="0" applyNumberFormat="1" applyFont="1" applyFill="1" applyBorder="1" applyAlignment="1" applyProtection="1">
      <alignment horizontal="left" vertical="center" wrapText="1"/>
      <protection locked="0"/>
    </xf>
    <xf numFmtId="0" fontId="0" fillId="0" borderId="0" xfId="0" applyAlignment="1">
      <alignment wrapText="1"/>
    </xf>
    <xf numFmtId="0" fontId="5" fillId="4" borderId="2" xfId="0" applyFont="1" applyFill="1" applyBorder="1" applyAlignment="1">
      <alignment horizontal="left" vertical="center" wrapText="1"/>
    </xf>
    <xf numFmtId="0" fontId="5" fillId="4" borderId="2" xfId="0" applyFont="1" applyFill="1" applyBorder="1" applyAlignment="1">
      <alignment horizontal="left" vertical="center"/>
    </xf>
    <xf numFmtId="0" fontId="3" fillId="4" borderId="5" xfId="0" applyFont="1" applyFill="1" applyBorder="1" applyAlignment="1">
      <alignment horizontal="left" vertical="center" wrapText="1"/>
    </xf>
    <xf numFmtId="0" fontId="3" fillId="4" borderId="8" xfId="0" applyFont="1" applyFill="1" applyBorder="1" applyAlignment="1">
      <alignment horizontal="left" vertical="center" wrapText="1"/>
    </xf>
    <xf numFmtId="0" fontId="3" fillId="4" borderId="10"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9"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5" fillId="4" borderId="6" xfId="0" applyFont="1" applyFill="1" applyBorder="1" applyAlignment="1">
      <alignment horizontal="left" vertical="center"/>
    </xf>
    <xf numFmtId="0" fontId="5" fillId="4" borderId="11" xfId="0" applyFont="1" applyFill="1" applyBorder="1" applyAlignment="1">
      <alignment horizontal="left" vertical="center"/>
    </xf>
    <xf numFmtId="0" fontId="7" fillId="5" borderId="2" xfId="0" applyFont="1" applyFill="1" applyBorder="1" applyAlignment="1" applyProtection="1">
      <alignment horizontal="left" vertical="center" wrapText="1"/>
      <protection locked="0"/>
    </xf>
    <xf numFmtId="0" fontId="8" fillId="4" borderId="25" xfId="0" applyFont="1" applyFill="1" applyBorder="1" applyAlignment="1" applyProtection="1">
      <alignment horizontal="left" vertical="center" wrapText="1"/>
    </xf>
    <xf numFmtId="0" fontId="8" fillId="4" borderId="26" xfId="0" applyFont="1" applyFill="1" applyBorder="1" applyAlignment="1" applyProtection="1">
      <alignment horizontal="left" vertical="center" wrapText="1"/>
    </xf>
    <xf numFmtId="0" fontId="8" fillId="4" borderId="27" xfId="0" applyFont="1" applyFill="1" applyBorder="1" applyAlignment="1" applyProtection="1">
      <alignment horizontal="left" vertical="center" wrapText="1"/>
    </xf>
    <xf numFmtId="0" fontId="8" fillId="4" borderId="17" xfId="0" applyFont="1" applyFill="1" applyBorder="1" applyAlignment="1" applyProtection="1">
      <alignment horizontal="left" vertical="center" wrapText="1"/>
    </xf>
    <xf numFmtId="0" fontId="8" fillId="4" borderId="18" xfId="0" applyFont="1" applyFill="1" applyBorder="1" applyAlignment="1" applyProtection="1">
      <alignment horizontal="left" vertical="center" wrapText="1"/>
    </xf>
    <xf numFmtId="0" fontId="8" fillId="4" borderId="19" xfId="0" applyFont="1" applyFill="1" applyBorder="1" applyAlignment="1" applyProtection="1">
      <alignment horizontal="left" vertical="center" wrapText="1"/>
    </xf>
    <xf numFmtId="0" fontId="7" fillId="5" borderId="10" xfId="0" applyFont="1" applyFill="1" applyBorder="1" applyAlignment="1" applyProtection="1">
      <alignment horizontal="left" vertical="center" wrapText="1"/>
      <protection locked="0"/>
    </xf>
    <xf numFmtId="165" fontId="5" fillId="5" borderId="6" xfId="0" applyNumberFormat="1" applyFont="1" applyFill="1" applyBorder="1" applyAlignment="1" applyProtection="1">
      <alignment horizontal="left" vertical="center" wrapText="1"/>
      <protection locked="0"/>
    </xf>
    <xf numFmtId="0" fontId="7" fillId="5" borderId="8" xfId="0" applyFont="1" applyFill="1" applyBorder="1" applyAlignment="1" applyProtection="1">
      <alignment horizontal="left" vertical="center" wrapText="1"/>
      <protection locked="0"/>
    </xf>
    <xf numFmtId="0" fontId="7" fillId="5" borderId="5" xfId="0" applyFont="1" applyFill="1" applyBorder="1" applyAlignment="1" applyProtection="1">
      <alignment horizontal="left" vertical="center" wrapText="1"/>
      <protection locked="0"/>
    </xf>
    <xf numFmtId="0" fontId="5" fillId="4" borderId="1" xfId="0" applyFont="1" applyFill="1" applyBorder="1" applyAlignment="1" applyProtection="1">
      <alignment horizontal="left" vertical="center" wrapText="1"/>
    </xf>
    <xf numFmtId="0" fontId="9" fillId="4" borderId="4" xfId="0" applyFont="1" applyFill="1" applyBorder="1" applyAlignment="1" applyProtection="1">
      <alignment horizontal="center" vertical="center" wrapText="1"/>
    </xf>
    <xf numFmtId="0" fontId="8" fillId="4" borderId="20" xfId="0" applyFont="1" applyFill="1" applyBorder="1" applyAlignment="1" applyProtection="1">
      <alignment horizontal="left" vertical="center" wrapText="1"/>
    </xf>
    <xf numFmtId="0" fontId="10" fillId="0" borderId="0" xfId="0" applyFont="1"/>
    <xf numFmtId="0" fontId="5" fillId="4" borderId="23" xfId="0" applyFont="1" applyFill="1" applyBorder="1" applyAlignment="1" applyProtection="1">
      <alignment horizontal="left" vertical="center" wrapText="1"/>
    </xf>
    <xf numFmtId="0" fontId="5" fillId="4" borderId="24" xfId="0" applyFont="1" applyFill="1" applyBorder="1" applyAlignment="1" applyProtection="1">
      <alignment horizontal="left" vertical="center" wrapText="1"/>
    </xf>
    <xf numFmtId="165" fontId="5" fillId="4" borderId="9" xfId="0" applyNumberFormat="1" applyFont="1" applyFill="1" applyBorder="1" applyAlignment="1" applyProtection="1">
      <alignment horizontal="left" vertical="center" wrapText="1"/>
      <protection locked="0"/>
    </xf>
    <xf numFmtId="165" fontId="5" fillId="5" borderId="23" xfId="0" applyNumberFormat="1" applyFont="1" applyFill="1" applyBorder="1" applyAlignment="1" applyProtection="1">
      <alignment horizontal="left" vertical="center" wrapText="1"/>
      <protection locked="0"/>
    </xf>
    <xf numFmtId="165" fontId="5" fillId="5" borderId="1" xfId="0" applyNumberFormat="1" applyFont="1" applyFill="1" applyBorder="1" applyAlignment="1" applyProtection="1">
      <alignment horizontal="left" vertical="center" wrapText="1"/>
      <protection locked="0"/>
    </xf>
    <xf numFmtId="165" fontId="5" fillId="5" borderId="24" xfId="0" applyNumberFormat="1" applyFont="1" applyFill="1" applyBorder="1" applyAlignment="1" applyProtection="1">
      <alignment horizontal="left" vertical="center" wrapText="1"/>
      <protection locked="0"/>
    </xf>
    <xf numFmtId="0" fontId="5" fillId="5" borderId="2" xfId="0" quotePrefix="1" applyFont="1" applyFill="1" applyBorder="1" applyAlignment="1" applyProtection="1">
      <alignment horizontal="left" vertical="center" wrapText="1"/>
      <protection locked="0"/>
    </xf>
    <xf numFmtId="0" fontId="3" fillId="4" borderId="28" xfId="0" applyFont="1" applyFill="1" applyBorder="1" applyAlignment="1" applyProtection="1">
      <alignment horizontal="left" vertical="center"/>
      <protection locked="0"/>
    </xf>
    <xf numFmtId="0" fontId="8" fillId="4" borderId="29" xfId="0" applyFont="1" applyFill="1" applyBorder="1" applyAlignment="1" applyProtection="1">
      <alignment horizontal="left" vertical="center" wrapText="1"/>
    </xf>
    <xf numFmtId="0" fontId="3" fillId="4" borderId="13" xfId="0" applyFont="1" applyFill="1" applyBorder="1" applyAlignment="1" applyProtection="1">
      <alignment horizontal="left" vertical="center" wrapText="1"/>
    </xf>
    <xf numFmtId="0" fontId="5" fillId="5" borderId="16" xfId="0" applyFont="1" applyFill="1" applyBorder="1" applyAlignment="1" applyProtection="1">
      <alignment horizontal="left" vertical="center" wrapText="1"/>
      <protection locked="0"/>
    </xf>
    <xf numFmtId="0" fontId="5" fillId="5" borderId="13" xfId="0" applyFont="1" applyFill="1" applyBorder="1" applyAlignment="1" applyProtection="1">
      <alignment horizontal="left" vertical="center" wrapText="1"/>
      <protection locked="0"/>
    </xf>
    <xf numFmtId="0" fontId="5" fillId="5" borderId="14" xfId="0" applyFont="1" applyFill="1" applyBorder="1" applyAlignment="1" applyProtection="1">
      <alignment horizontal="left" vertical="center" wrapText="1"/>
      <protection locked="0"/>
    </xf>
    <xf numFmtId="0" fontId="5" fillId="4" borderId="16" xfId="0" applyFont="1" applyFill="1" applyBorder="1" applyAlignment="1" applyProtection="1">
      <alignment horizontal="left" vertical="center" wrapText="1"/>
    </xf>
    <xf numFmtId="0" fontId="5" fillId="4" borderId="14" xfId="0" applyFont="1" applyFill="1" applyBorder="1" applyAlignment="1" applyProtection="1">
      <alignment horizontal="left" vertical="center" wrapText="1"/>
    </xf>
    <xf numFmtId="165" fontId="5" fillId="5" borderId="14" xfId="0" applyNumberFormat="1" applyFont="1" applyFill="1" applyBorder="1" applyAlignment="1" applyProtection="1">
      <alignment horizontal="left" vertical="center" wrapText="1"/>
    </xf>
    <xf numFmtId="165" fontId="5" fillId="5" borderId="14" xfId="0" applyNumberFormat="1" applyFont="1" applyFill="1" applyBorder="1" applyAlignment="1" applyProtection="1">
      <alignment horizontal="left" vertical="center" wrapText="1"/>
      <protection locked="0"/>
    </xf>
    <xf numFmtId="165" fontId="5" fillId="5" borderId="16" xfId="0" applyNumberFormat="1" applyFont="1" applyFill="1" applyBorder="1" applyAlignment="1" applyProtection="1">
      <alignment horizontal="left" vertical="center" wrapText="1"/>
      <protection locked="0"/>
    </xf>
    <xf numFmtId="0" fontId="5" fillId="5" borderId="4" xfId="0" applyFont="1" applyFill="1" applyBorder="1" applyAlignment="1" applyProtection="1">
      <alignment horizontal="left" vertical="center" wrapText="1"/>
      <protection locked="0"/>
    </xf>
    <xf numFmtId="0" fontId="6" fillId="5" borderId="13" xfId="0" applyFont="1" applyFill="1" applyBorder="1" applyAlignment="1" applyProtection="1">
      <alignment horizontal="left" vertical="center" wrapText="1"/>
      <protection locked="0"/>
    </xf>
    <xf numFmtId="0" fontId="5" fillId="4" borderId="14" xfId="0" applyFont="1" applyFill="1" applyBorder="1" applyAlignment="1" applyProtection="1">
      <alignment horizontal="left" vertical="center"/>
    </xf>
    <xf numFmtId="165" fontId="5" fillId="4" borderId="13" xfId="0" applyNumberFormat="1" applyFont="1" applyFill="1" applyBorder="1" applyAlignment="1" applyProtection="1">
      <alignment horizontal="left" vertical="center" wrapText="1"/>
      <protection locked="0"/>
    </xf>
    <xf numFmtId="0" fontId="8" fillId="4" borderId="30" xfId="0" applyFont="1" applyFill="1" applyBorder="1" applyAlignment="1" applyProtection="1">
      <alignment horizontal="left" vertical="center" wrapText="1"/>
    </xf>
    <xf numFmtId="0" fontId="3" fillId="4" borderId="31" xfId="0" applyFont="1" applyFill="1" applyBorder="1" applyAlignment="1" applyProtection="1">
      <alignment horizontal="left" vertical="center" wrapText="1"/>
    </xf>
    <xf numFmtId="0" fontId="5" fillId="5" borderId="32" xfId="0" applyFont="1" applyFill="1" applyBorder="1" applyAlignment="1" applyProtection="1">
      <alignment horizontal="left" vertical="center" wrapText="1"/>
      <protection locked="0"/>
    </xf>
    <xf numFmtId="0" fontId="5" fillId="5" borderId="31" xfId="0" applyFont="1" applyFill="1" applyBorder="1" applyAlignment="1" applyProtection="1">
      <alignment horizontal="left" vertical="center" wrapText="1"/>
      <protection locked="0"/>
    </xf>
    <xf numFmtId="0" fontId="5" fillId="5" borderId="33" xfId="0" applyFont="1" applyFill="1" applyBorder="1" applyAlignment="1" applyProtection="1">
      <alignment horizontal="left" vertical="center" wrapText="1"/>
      <protection locked="0"/>
    </xf>
    <xf numFmtId="0" fontId="5" fillId="4" borderId="32" xfId="0" applyFont="1" applyFill="1" applyBorder="1" applyAlignment="1" applyProtection="1">
      <alignment horizontal="left" vertical="center" wrapText="1"/>
    </xf>
    <xf numFmtId="0" fontId="5" fillId="4" borderId="33" xfId="0" applyFont="1" applyFill="1" applyBorder="1" applyAlignment="1" applyProtection="1">
      <alignment horizontal="left" vertical="center" wrapText="1"/>
    </xf>
    <xf numFmtId="165" fontId="5" fillId="4" borderId="31" xfId="0" applyNumberFormat="1" applyFont="1" applyFill="1" applyBorder="1" applyAlignment="1" applyProtection="1">
      <alignment horizontal="left" vertical="center" wrapText="1"/>
      <protection locked="0"/>
    </xf>
    <xf numFmtId="165" fontId="5" fillId="4" borderId="33" xfId="0" applyNumberFormat="1" applyFont="1" applyFill="1" applyBorder="1" applyAlignment="1" applyProtection="1">
      <alignment horizontal="left" vertical="center" wrapText="1"/>
      <protection locked="0"/>
    </xf>
    <xf numFmtId="165" fontId="5" fillId="5" borderId="32" xfId="0" applyNumberFormat="1" applyFont="1" applyFill="1" applyBorder="1" applyAlignment="1" applyProtection="1">
      <alignment horizontal="left" vertical="center" wrapText="1"/>
      <protection locked="0"/>
    </xf>
    <xf numFmtId="0" fontId="5" fillId="5" borderId="30" xfId="0" applyFont="1" applyFill="1" applyBorder="1" applyAlignment="1" applyProtection="1">
      <alignment horizontal="left" vertical="center" wrapText="1"/>
      <protection locked="0"/>
    </xf>
    <xf numFmtId="0" fontId="6" fillId="5" borderId="31" xfId="0" applyFont="1" applyFill="1" applyBorder="1" applyAlignment="1" applyProtection="1">
      <alignment horizontal="left" vertical="center" wrapText="1"/>
      <protection locked="0"/>
    </xf>
    <xf numFmtId="0" fontId="5" fillId="4" borderId="33" xfId="0" applyFont="1" applyFill="1" applyBorder="1" applyAlignment="1" applyProtection="1">
      <alignment horizontal="left" vertical="center"/>
    </xf>
    <xf numFmtId="165" fontId="5" fillId="5" borderId="33" xfId="0" applyNumberFormat="1" applyFont="1" applyFill="1" applyBorder="1" applyAlignment="1" applyProtection="1">
      <alignment horizontal="left" vertical="center" wrapText="1"/>
      <protection locked="0"/>
    </xf>
    <xf numFmtId="0" fontId="7" fillId="5" borderId="33" xfId="0" applyFont="1" applyFill="1" applyBorder="1" applyAlignment="1" applyProtection="1">
      <alignment horizontal="left" vertical="center" wrapText="1"/>
      <protection locked="0"/>
    </xf>
    <xf numFmtId="0" fontId="5" fillId="12" borderId="8" xfId="0" applyFont="1" applyFill="1" applyBorder="1" applyAlignment="1" applyProtection="1">
      <alignment horizontal="left" vertical="center" wrapText="1"/>
      <protection locked="0"/>
    </xf>
    <xf numFmtId="49" fontId="5" fillId="5" borderId="5" xfId="0" applyNumberFormat="1" applyFont="1" applyFill="1" applyBorder="1" applyAlignment="1" applyProtection="1">
      <alignment horizontal="left" vertical="center" wrapText="1"/>
      <protection locked="0"/>
    </xf>
    <xf numFmtId="49" fontId="5" fillId="5" borderId="8" xfId="0" applyNumberFormat="1" applyFont="1" applyFill="1" applyBorder="1" applyAlignment="1" applyProtection="1">
      <alignment horizontal="left" vertical="center" wrapText="1"/>
      <protection locked="0"/>
    </xf>
    <xf numFmtId="49" fontId="5" fillId="5" borderId="10" xfId="0" applyNumberFormat="1" applyFont="1" applyFill="1" applyBorder="1" applyAlignment="1" applyProtection="1">
      <alignment horizontal="left" vertical="center" wrapText="1"/>
      <protection locked="0"/>
    </xf>
    <xf numFmtId="0" fontId="8" fillId="4" borderId="31" xfId="0" applyFont="1" applyFill="1" applyBorder="1" applyAlignment="1" applyProtection="1">
      <alignment horizontal="left" vertical="center" wrapText="1"/>
    </xf>
    <xf numFmtId="0" fontId="7" fillId="5" borderId="6" xfId="0" applyFont="1" applyFill="1" applyBorder="1" applyAlignment="1" applyProtection="1">
      <alignment horizontal="left" vertical="center" wrapText="1"/>
      <protection locked="0"/>
    </xf>
    <xf numFmtId="165" fontId="5" fillId="5" borderId="11" xfId="0" applyNumberFormat="1" applyFont="1" applyFill="1" applyBorder="1" applyAlignment="1" applyProtection="1">
      <alignment horizontal="left" vertical="center" wrapText="1"/>
    </xf>
    <xf numFmtId="0" fontId="5" fillId="5" borderId="34" xfId="0" applyFont="1" applyFill="1" applyBorder="1" applyAlignment="1" applyProtection="1">
      <alignment horizontal="left" vertical="center" wrapText="1"/>
      <protection locked="0"/>
    </xf>
    <xf numFmtId="0" fontId="5" fillId="5" borderId="35" xfId="0" applyFont="1" applyFill="1" applyBorder="1" applyAlignment="1" applyProtection="1">
      <alignment horizontal="left" vertical="center" wrapText="1"/>
      <protection locked="0"/>
    </xf>
    <xf numFmtId="0" fontId="5" fillId="5" borderId="36" xfId="0" applyFont="1" applyFill="1" applyBorder="1" applyAlignment="1" applyProtection="1">
      <alignment horizontal="left" vertical="center" wrapText="1"/>
      <protection locked="0"/>
    </xf>
    <xf numFmtId="0" fontId="7" fillId="5" borderId="34" xfId="0" applyFont="1" applyFill="1" applyBorder="1" applyAlignment="1" applyProtection="1">
      <alignment horizontal="left" vertical="center" wrapText="1"/>
      <protection locked="0"/>
    </xf>
    <xf numFmtId="0" fontId="8" fillId="4" borderId="37" xfId="0" applyFont="1" applyFill="1" applyBorder="1" applyAlignment="1" applyProtection="1">
      <alignment horizontal="left" vertical="center" wrapText="1"/>
    </xf>
    <xf numFmtId="0" fontId="3" fillId="4" borderId="38" xfId="0" applyFont="1" applyFill="1" applyBorder="1" applyAlignment="1" applyProtection="1">
      <alignment horizontal="left" vertical="center" wrapText="1"/>
    </xf>
    <xf numFmtId="0" fontId="5" fillId="5" borderId="39" xfId="0" applyFont="1" applyFill="1" applyBorder="1" applyAlignment="1" applyProtection="1">
      <alignment horizontal="left" vertical="center" wrapText="1"/>
      <protection locked="0"/>
    </xf>
    <xf numFmtId="0" fontId="5" fillId="5" borderId="38" xfId="0" applyFont="1" applyFill="1" applyBorder="1" applyAlignment="1" applyProtection="1">
      <alignment horizontal="left" vertical="center" wrapText="1"/>
      <protection locked="0"/>
    </xf>
    <xf numFmtId="0" fontId="5" fillId="5" borderId="40" xfId="0" applyFont="1" applyFill="1" applyBorder="1" applyAlignment="1" applyProtection="1">
      <alignment horizontal="left" vertical="center" wrapText="1"/>
      <protection locked="0"/>
    </xf>
    <xf numFmtId="0" fontId="5" fillId="4" borderId="39" xfId="0" applyFont="1" applyFill="1" applyBorder="1" applyAlignment="1" applyProtection="1">
      <alignment horizontal="left" vertical="center" wrapText="1"/>
    </xf>
    <xf numFmtId="0" fontId="5" fillId="5" borderId="41" xfId="0" applyFont="1" applyFill="1" applyBorder="1" applyAlignment="1" applyProtection="1">
      <alignment horizontal="left" vertical="center" wrapText="1"/>
      <protection locked="0"/>
    </xf>
    <xf numFmtId="0" fontId="5" fillId="4" borderId="40" xfId="0" applyFont="1" applyFill="1" applyBorder="1" applyAlignment="1" applyProtection="1">
      <alignment horizontal="left" vertical="center" wrapText="1"/>
    </xf>
    <xf numFmtId="165" fontId="5" fillId="4" borderId="38" xfId="0" applyNumberFormat="1" applyFont="1" applyFill="1" applyBorder="1" applyAlignment="1" applyProtection="1">
      <alignment horizontal="left" vertical="center" wrapText="1"/>
      <protection locked="0"/>
    </xf>
    <xf numFmtId="165" fontId="5" fillId="4" borderId="40" xfId="0" applyNumberFormat="1" applyFont="1" applyFill="1" applyBorder="1" applyAlignment="1" applyProtection="1">
      <alignment horizontal="left" vertical="center" wrapText="1"/>
      <protection locked="0"/>
    </xf>
    <xf numFmtId="165" fontId="5" fillId="5" borderId="39" xfId="0" applyNumberFormat="1" applyFont="1" applyFill="1" applyBorder="1" applyAlignment="1" applyProtection="1">
      <alignment horizontal="left" vertical="center" wrapText="1"/>
      <protection locked="0"/>
    </xf>
    <xf numFmtId="0" fontId="5" fillId="5" borderId="37" xfId="0" applyFont="1" applyFill="1" applyBorder="1" applyAlignment="1" applyProtection="1">
      <alignment horizontal="left" vertical="center" wrapText="1"/>
      <protection locked="0"/>
    </xf>
    <xf numFmtId="0" fontId="6" fillId="5" borderId="38" xfId="0" applyFont="1" applyFill="1" applyBorder="1" applyAlignment="1" applyProtection="1">
      <alignment horizontal="left" vertical="center" wrapText="1"/>
      <protection locked="0"/>
    </xf>
    <xf numFmtId="0" fontId="5" fillId="4" borderId="40" xfId="0" applyFont="1" applyFill="1" applyBorder="1" applyAlignment="1" applyProtection="1">
      <alignment horizontal="left" vertical="center"/>
    </xf>
    <xf numFmtId="165" fontId="5" fillId="5" borderId="38" xfId="0" applyNumberFormat="1" applyFont="1" applyFill="1" applyBorder="1" applyAlignment="1" applyProtection="1">
      <alignment horizontal="left" vertical="center" wrapText="1"/>
      <protection locked="0"/>
    </xf>
    <xf numFmtId="0" fontId="7" fillId="5" borderId="40" xfId="0" applyFont="1" applyFill="1" applyBorder="1" applyAlignment="1" applyProtection="1">
      <alignment horizontal="left" vertical="center" wrapText="1"/>
      <protection locked="0"/>
    </xf>
    <xf numFmtId="165" fontId="5" fillId="5" borderId="10" xfId="0" applyNumberFormat="1" applyFont="1" applyFill="1" applyBorder="1" applyAlignment="1" applyProtection="1">
      <alignment horizontal="left" vertical="center" wrapText="1"/>
      <protection locked="0"/>
    </xf>
    <xf numFmtId="165" fontId="5" fillId="4" borderId="21" xfId="0" applyNumberFormat="1" applyFont="1" applyFill="1" applyBorder="1" applyAlignment="1" applyProtection="1">
      <alignment horizontal="left" vertical="center" wrapText="1"/>
      <protection locked="0"/>
    </xf>
    <xf numFmtId="0" fontId="5" fillId="4" borderId="3" xfId="0" applyFont="1" applyFill="1" applyBorder="1" applyAlignment="1" applyProtection="1">
      <alignment horizontal="left" vertical="center"/>
    </xf>
    <xf numFmtId="0" fontId="7" fillId="5" borderId="3" xfId="0" applyFont="1" applyFill="1" applyBorder="1" applyAlignment="1" applyProtection="1">
      <alignment horizontal="left" vertical="center" wrapText="1"/>
      <protection locked="0"/>
    </xf>
    <xf numFmtId="165" fontId="5" fillId="5" borderId="3" xfId="0" applyNumberFormat="1" applyFont="1" applyFill="1" applyBorder="1" applyAlignment="1" applyProtection="1">
      <alignment horizontal="left" vertical="center" wrapText="1"/>
      <protection locked="0"/>
    </xf>
    <xf numFmtId="0" fontId="8" fillId="4" borderId="42" xfId="0" applyFont="1" applyFill="1" applyBorder="1" applyAlignment="1" applyProtection="1">
      <alignment horizontal="left" vertical="center" wrapText="1"/>
    </xf>
    <xf numFmtId="0" fontId="0" fillId="0" borderId="0" xfId="0" applyBorder="1"/>
    <xf numFmtId="0" fontId="0" fillId="0" borderId="43" xfId="0" applyBorder="1"/>
    <xf numFmtId="169" fontId="0" fillId="0" borderId="0" xfId="0" applyNumberFormat="1"/>
    <xf numFmtId="169" fontId="0" fillId="0" borderId="0" xfId="2" applyNumberFormat="1" applyFont="1"/>
    <xf numFmtId="0" fontId="0" fillId="0" borderId="0" xfId="0" applyBorder="1" applyAlignment="1">
      <alignment wrapText="1"/>
    </xf>
    <xf numFmtId="0" fontId="0" fillId="0" borderId="44" xfId="0" applyBorder="1" applyAlignment="1">
      <alignment wrapText="1"/>
    </xf>
    <xf numFmtId="0" fontId="0" fillId="0" borderId="45" xfId="0" applyBorder="1" applyAlignment="1">
      <alignment wrapText="1"/>
    </xf>
    <xf numFmtId="0" fontId="0" fillId="13" borderId="46" xfId="0" applyFill="1" applyBorder="1" applyAlignment="1">
      <alignment horizontal="center" vertical="center" wrapText="1"/>
    </xf>
    <xf numFmtId="0" fontId="0" fillId="13" borderId="45" xfId="0" applyFill="1" applyBorder="1" applyAlignment="1">
      <alignment horizontal="center" vertical="center" wrapText="1"/>
    </xf>
    <xf numFmtId="0" fontId="0" fillId="13" borderId="47" xfId="0" applyFill="1" applyBorder="1" applyAlignment="1">
      <alignment horizontal="center" vertical="center" wrapText="1"/>
    </xf>
    <xf numFmtId="0" fontId="0" fillId="0" borderId="47" xfId="0" applyBorder="1" applyAlignment="1">
      <alignment wrapText="1"/>
    </xf>
    <xf numFmtId="0" fontId="11" fillId="0" borderId="0" xfId="0" applyFont="1"/>
    <xf numFmtId="0" fontId="0" fillId="0" borderId="0" xfId="0" pivotButton="1"/>
    <xf numFmtId="0" fontId="0" fillId="0" borderId="0" xfId="0" applyAlignment="1">
      <alignment horizontal="left"/>
    </xf>
    <xf numFmtId="1" fontId="0" fillId="0" borderId="0" xfId="0" applyNumberFormat="1"/>
    <xf numFmtId="169" fontId="0" fillId="13" borderId="0" xfId="2" applyNumberFormat="1" applyFont="1" applyFill="1"/>
    <xf numFmtId="9" fontId="0" fillId="0" borderId="0" xfId="1" applyFont="1"/>
    <xf numFmtId="168" fontId="0" fillId="0" borderId="0" xfId="0" applyNumberFormat="1"/>
    <xf numFmtId="0" fontId="7" fillId="5" borderId="36" xfId="0" applyFont="1" applyFill="1" applyBorder="1" applyAlignment="1" applyProtection="1">
      <alignment horizontal="left" vertical="center" wrapText="1"/>
      <protection locked="0"/>
    </xf>
    <xf numFmtId="0" fontId="7" fillId="5" borderId="17" xfId="0" applyFont="1" applyFill="1" applyBorder="1" applyAlignment="1" applyProtection="1">
      <alignment horizontal="left" vertical="center" wrapText="1"/>
      <protection locked="0"/>
    </xf>
    <xf numFmtId="0" fontId="7" fillId="5" borderId="41" xfId="0" applyFont="1" applyFill="1" applyBorder="1" applyAlignment="1" applyProtection="1">
      <alignment horizontal="left" vertical="center" wrapText="1"/>
      <protection locked="0"/>
    </xf>
    <xf numFmtId="165" fontId="5" fillId="5" borderId="48" xfId="0" applyNumberFormat="1" applyFont="1" applyFill="1" applyBorder="1" applyAlignment="1" applyProtection="1">
      <alignment horizontal="left" vertical="center" wrapText="1"/>
      <protection locked="0"/>
    </xf>
    <xf numFmtId="165" fontId="5" fillId="5" borderId="34" xfId="0" applyNumberFormat="1" applyFont="1" applyFill="1" applyBorder="1" applyAlignment="1" applyProtection="1">
      <alignment horizontal="left" vertical="center" wrapText="1"/>
      <protection locked="0"/>
    </xf>
    <xf numFmtId="0" fontId="7" fillId="4" borderId="2" xfId="0" applyFont="1" applyFill="1" applyBorder="1" applyAlignment="1" applyProtection="1">
      <alignment horizontal="left" vertical="center" wrapText="1"/>
    </xf>
    <xf numFmtId="165" fontId="5" fillId="5" borderId="35" xfId="0" applyNumberFormat="1" applyFont="1" applyFill="1" applyBorder="1" applyAlignment="1" applyProtection="1">
      <alignment horizontal="left" vertical="center" wrapText="1"/>
      <protection locked="0"/>
    </xf>
    <xf numFmtId="0" fontId="12" fillId="0" borderId="0" xfId="0" applyFont="1"/>
    <xf numFmtId="0" fontId="14" fillId="0" borderId="0" xfId="0" applyFont="1"/>
    <xf numFmtId="0" fontId="15" fillId="14" borderId="4" xfId="3" applyFont="1" applyFill="1" applyBorder="1" applyAlignment="1">
      <alignment horizontal="center" vertical="center"/>
    </xf>
    <xf numFmtId="0" fontId="15" fillId="14" borderId="29" xfId="3" applyFont="1" applyFill="1" applyBorder="1" applyAlignment="1">
      <alignment horizontal="center" vertical="center"/>
    </xf>
    <xf numFmtId="0" fontId="15" fillId="14" borderId="4" xfId="3" applyFont="1" applyFill="1" applyBorder="1" applyAlignment="1">
      <alignment horizontal="left" vertical="center"/>
    </xf>
    <xf numFmtId="0" fontId="15" fillId="14" borderId="15" xfId="3" applyFont="1" applyFill="1" applyBorder="1" applyAlignment="1">
      <alignment horizontal="center" vertical="center"/>
    </xf>
    <xf numFmtId="0" fontId="15" fillId="14" borderId="52" xfId="3" applyFont="1" applyFill="1" applyBorder="1" applyAlignment="1">
      <alignment horizontal="left" vertical="center"/>
    </xf>
    <xf numFmtId="0" fontId="15" fillId="4" borderId="16" xfId="3" applyFont="1" applyFill="1" applyBorder="1" applyAlignment="1">
      <alignment horizontal="center" vertical="center"/>
    </xf>
    <xf numFmtId="0" fontId="14" fillId="15" borderId="53" xfId="0" applyFont="1" applyFill="1" applyBorder="1" applyAlignment="1">
      <alignment vertical="center"/>
    </xf>
    <xf numFmtId="0" fontId="14" fillId="15" borderId="55" xfId="0" applyFont="1" applyFill="1" applyBorder="1" applyAlignment="1">
      <alignment horizontal="center" vertical="center"/>
    </xf>
    <xf numFmtId="0" fontId="14" fillId="16" borderId="56" xfId="0" applyFont="1" applyFill="1" applyBorder="1" applyAlignment="1">
      <alignment horizontal="center" vertical="center"/>
    </xf>
    <xf numFmtId="0" fontId="14" fillId="16" borderId="53" xfId="0" applyFont="1" applyFill="1" applyBorder="1" applyAlignment="1">
      <alignment vertical="center"/>
    </xf>
    <xf numFmtId="0" fontId="14" fillId="16" borderId="57" xfId="0" applyFont="1" applyFill="1" applyBorder="1" applyAlignment="1">
      <alignment vertical="center"/>
    </xf>
    <xf numFmtId="0" fontId="14" fillId="0" borderId="57" xfId="0" applyFont="1" applyBorder="1" applyAlignment="1">
      <alignment horizontal="center" vertical="center"/>
    </xf>
    <xf numFmtId="0" fontId="14" fillId="15" borderId="20" xfId="0" applyFont="1" applyFill="1" applyBorder="1" applyAlignment="1">
      <alignment vertical="center"/>
    </xf>
    <xf numFmtId="0" fontId="14" fillId="15" borderId="58" xfId="0" applyFont="1" applyFill="1" applyBorder="1" applyAlignment="1">
      <alignment horizontal="center" vertical="center"/>
    </xf>
    <xf numFmtId="0" fontId="14" fillId="16" borderId="59" xfId="0" applyFont="1" applyFill="1" applyBorder="1" applyAlignment="1">
      <alignment horizontal="center" vertical="center"/>
    </xf>
    <xf numFmtId="0" fontId="14" fillId="16" borderId="20" xfId="0" applyFont="1" applyFill="1" applyBorder="1" applyAlignment="1">
      <alignment vertical="center"/>
    </xf>
    <xf numFmtId="0" fontId="14" fillId="16" borderId="60" xfId="0" applyFont="1" applyFill="1" applyBorder="1" applyAlignment="1">
      <alignment vertical="center"/>
    </xf>
    <xf numFmtId="0" fontId="14" fillId="0" borderId="60" xfId="0" applyFont="1" applyBorder="1" applyAlignment="1">
      <alignment horizontal="center" vertical="center"/>
    </xf>
    <xf numFmtId="0" fontId="14" fillId="15" borderId="61" xfId="0" applyFont="1" applyFill="1" applyBorder="1" applyAlignment="1">
      <alignment vertical="center"/>
    </xf>
    <xf numFmtId="0" fontId="14" fillId="15" borderId="63" xfId="0" applyFont="1" applyFill="1" applyBorder="1" applyAlignment="1">
      <alignment horizontal="center" vertical="center"/>
    </xf>
    <xf numFmtId="0" fontId="14" fillId="16" borderId="64" xfId="0" applyFont="1" applyFill="1" applyBorder="1" applyAlignment="1">
      <alignment horizontal="center" vertical="center"/>
    </xf>
    <xf numFmtId="0" fontId="14" fillId="16" borderId="61" xfId="0" applyFont="1" applyFill="1" applyBorder="1" applyAlignment="1">
      <alignment vertical="center"/>
    </xf>
    <xf numFmtId="0" fontId="14" fillId="16" borderId="65" xfId="0" applyFont="1" applyFill="1" applyBorder="1" applyAlignment="1">
      <alignment vertical="center"/>
    </xf>
    <xf numFmtId="0" fontId="14" fillId="0" borderId="65" xfId="0" applyFont="1" applyBorder="1" applyAlignment="1">
      <alignment horizontal="center" vertical="center"/>
    </xf>
    <xf numFmtId="0" fontId="14" fillId="15" borderId="30" xfId="0" applyFont="1" applyFill="1" applyBorder="1" applyAlignment="1">
      <alignment vertical="center"/>
    </xf>
    <xf numFmtId="0" fontId="14" fillId="15" borderId="66" xfId="0" applyFont="1" applyFill="1" applyBorder="1" applyAlignment="1">
      <alignment horizontal="center" vertical="center"/>
    </xf>
    <xf numFmtId="0" fontId="14" fillId="16" borderId="67" xfId="0" applyFont="1" applyFill="1" applyBorder="1" applyAlignment="1">
      <alignment horizontal="center" vertical="center"/>
    </xf>
    <xf numFmtId="0" fontId="14" fillId="16" borderId="30" xfId="0" applyFont="1" applyFill="1" applyBorder="1" applyAlignment="1">
      <alignment vertical="center"/>
    </xf>
    <xf numFmtId="0" fontId="14" fillId="16" borderId="68" xfId="0" applyFont="1" applyFill="1" applyBorder="1" applyAlignment="1">
      <alignment vertical="center"/>
    </xf>
    <xf numFmtId="0" fontId="14" fillId="0" borderId="68" xfId="0" applyFont="1" applyBorder="1" applyAlignment="1">
      <alignment horizontal="center" vertical="center"/>
    </xf>
    <xf numFmtId="0" fontId="14" fillId="16" borderId="67" xfId="0" applyFont="1" applyFill="1" applyBorder="1" applyAlignment="1">
      <alignment horizontal="center" vertical="center" wrapText="1"/>
    </xf>
    <xf numFmtId="0" fontId="14" fillId="16" borderId="30" xfId="0" applyFont="1" applyFill="1" applyBorder="1" applyAlignment="1">
      <alignment vertical="center" wrapText="1"/>
    </xf>
    <xf numFmtId="0" fontId="14" fillId="16" borderId="68" xfId="0" applyFont="1" applyFill="1" applyBorder="1" applyAlignment="1">
      <alignment vertical="center" wrapText="1"/>
    </xf>
    <xf numFmtId="0" fontId="14" fillId="16" borderId="59" xfId="0" applyFont="1" applyFill="1" applyBorder="1" applyAlignment="1">
      <alignment horizontal="center" vertical="center" wrapText="1"/>
    </xf>
    <xf numFmtId="0" fontId="14" fillId="16" borderId="20" xfId="0" applyFont="1" applyFill="1" applyBorder="1" applyAlignment="1">
      <alignment vertical="center" wrapText="1"/>
    </xf>
    <xf numFmtId="0" fontId="14" fillId="16" borderId="60" xfId="0" applyFont="1" applyFill="1" applyBorder="1" applyAlignment="1">
      <alignment vertical="center" wrapText="1"/>
    </xf>
    <xf numFmtId="0" fontId="14" fillId="0" borderId="60" xfId="0" applyFont="1" applyFill="1" applyBorder="1" applyAlignment="1">
      <alignment horizontal="center" vertical="center"/>
    </xf>
    <xf numFmtId="0" fontId="14" fillId="0" borderId="68" xfId="0" applyFont="1" applyFill="1" applyBorder="1" applyAlignment="1">
      <alignment horizontal="center" vertical="center"/>
    </xf>
    <xf numFmtId="0" fontId="9" fillId="17" borderId="4" xfId="0" applyFont="1" applyFill="1" applyBorder="1" applyAlignment="1" applyProtection="1">
      <alignment horizontal="left" vertical="center" wrapText="1"/>
    </xf>
    <xf numFmtId="0" fontId="9" fillId="17" borderId="13" xfId="0" applyFont="1" applyFill="1" applyBorder="1" applyAlignment="1" applyProtection="1">
      <alignment horizontal="left" vertical="center" wrapText="1"/>
    </xf>
    <xf numFmtId="0" fontId="9" fillId="17" borderId="14" xfId="0" applyFont="1" applyFill="1" applyBorder="1" applyAlignment="1" applyProtection="1">
      <alignment horizontal="left" vertical="center" wrapText="1"/>
    </xf>
    <xf numFmtId="0" fontId="9" fillId="17" borderId="16" xfId="0" applyFont="1" applyFill="1" applyBorder="1" applyAlignment="1" applyProtection="1">
      <alignment horizontal="left" vertical="center" wrapText="1"/>
    </xf>
    <xf numFmtId="0" fontId="5" fillId="4" borderId="17" xfId="0" applyFont="1" applyFill="1" applyBorder="1" applyAlignment="1" applyProtection="1">
      <alignment horizontal="left" vertical="center" wrapText="1"/>
    </xf>
    <xf numFmtId="0" fontId="5" fillId="4" borderId="18" xfId="0" applyFont="1" applyFill="1" applyBorder="1" applyAlignment="1" applyProtection="1">
      <alignment horizontal="left" vertical="center" wrapText="1"/>
    </xf>
    <xf numFmtId="0" fontId="5" fillId="4" borderId="20" xfId="0" applyFont="1" applyFill="1" applyBorder="1" applyAlignment="1" applyProtection="1">
      <alignment horizontal="left" vertical="center" wrapText="1"/>
    </xf>
    <xf numFmtId="0" fontId="5" fillId="4" borderId="18" xfId="0" applyFont="1" applyFill="1" applyBorder="1" applyAlignment="1">
      <alignment horizontal="left" vertical="center" wrapText="1"/>
    </xf>
    <xf numFmtId="0" fontId="5" fillId="4" borderId="37" xfId="0" applyFont="1" applyFill="1" applyBorder="1" applyAlignment="1" applyProtection="1">
      <alignment horizontal="left" vertical="center" wrapText="1"/>
    </xf>
    <xf numFmtId="0" fontId="5" fillId="4" borderId="19" xfId="0" applyFont="1" applyFill="1" applyBorder="1" applyAlignment="1" applyProtection="1">
      <alignment horizontal="left" vertical="center" wrapText="1"/>
    </xf>
    <xf numFmtId="0" fontId="16" fillId="18" borderId="69" xfId="0" applyFont="1" applyFill="1" applyBorder="1" applyAlignment="1">
      <alignment horizontal="left" vertical="top" wrapText="1"/>
    </xf>
    <xf numFmtId="0" fontId="14" fillId="0" borderId="2" xfId="0" applyFont="1" applyBorder="1" applyAlignment="1">
      <alignment horizontal="left" vertical="top" wrapText="1"/>
    </xf>
    <xf numFmtId="17" fontId="14" fillId="0" borderId="2" xfId="0" applyNumberFormat="1" applyFont="1" applyBorder="1" applyAlignment="1">
      <alignment horizontal="left" vertical="top" wrapText="1"/>
    </xf>
    <xf numFmtId="0" fontId="14" fillId="15" borderId="28" xfId="0" applyFont="1" applyFill="1" applyBorder="1" applyAlignment="1">
      <alignment horizontal="center" vertical="center"/>
    </xf>
    <xf numFmtId="0" fontId="14" fillId="15" borderId="66" xfId="0" applyFont="1" applyFill="1" applyBorder="1" applyAlignment="1">
      <alignment horizontal="center" vertical="center"/>
    </xf>
    <xf numFmtId="0" fontId="14" fillId="15" borderId="62" xfId="0" applyFont="1" applyFill="1" applyBorder="1" applyAlignment="1">
      <alignment horizontal="left" vertical="center"/>
    </xf>
    <xf numFmtId="0" fontId="14" fillId="15" borderId="30" xfId="0" applyFont="1" applyFill="1" applyBorder="1" applyAlignment="1">
      <alignment horizontal="left" vertical="center"/>
    </xf>
    <xf numFmtId="0" fontId="14" fillId="15" borderId="49" xfId="0" applyFont="1" applyFill="1" applyBorder="1" applyAlignment="1">
      <alignment horizontal="center" vertical="center"/>
    </xf>
    <xf numFmtId="0" fontId="14" fillId="15" borderId="54" xfId="0" applyFont="1" applyFill="1" applyBorder="1" applyAlignment="1">
      <alignment horizontal="left" vertical="center"/>
    </xf>
    <xf numFmtId="0" fontId="13" fillId="0" borderId="49" xfId="0" applyFont="1" applyBorder="1" applyAlignment="1">
      <alignment horizontal="center" vertical="center"/>
    </xf>
    <xf numFmtId="0" fontId="13" fillId="0" borderId="50" xfId="0" applyFont="1" applyBorder="1" applyAlignment="1">
      <alignment horizontal="center" vertical="center"/>
    </xf>
    <xf numFmtId="0" fontId="13" fillId="0" borderId="51" xfId="0" applyFont="1" applyBorder="1" applyAlignment="1">
      <alignment horizontal="center" vertical="center"/>
    </xf>
    <xf numFmtId="0" fontId="14" fillId="15" borderId="58" xfId="0" applyFont="1" applyFill="1" applyBorder="1" applyAlignment="1">
      <alignment horizontal="center" vertical="center"/>
    </xf>
    <xf numFmtId="0" fontId="14" fillId="15" borderId="20" xfId="0" applyFont="1" applyFill="1" applyBorder="1" applyAlignment="1">
      <alignment horizontal="left" vertical="center"/>
    </xf>
  </cellXfs>
  <cellStyles count="4">
    <cellStyle name="Comma" xfId="2" builtinId="3"/>
    <cellStyle name="Normal" xfId="0" builtinId="0"/>
    <cellStyle name="Normal 5 2" xfId="3" xr:uid="{DEB41F08-548A-40D9-9488-4CDC99C02218}"/>
    <cellStyle name="Percent" xfId="1" builtinId="5"/>
  </cellStyles>
  <dxfs count="12">
    <dxf>
      <numFmt numFmtId="1" formatCode="0"/>
    </dxf>
    <dxf>
      <numFmt numFmtId="168" formatCode="0.0"/>
    </dxf>
    <dxf>
      <numFmt numFmtId="2" formatCode="0.00"/>
    </dxf>
    <dxf>
      <numFmt numFmtId="170" formatCode="0.000"/>
    </dxf>
    <dxf>
      <numFmt numFmtId="171" formatCode="0.0000"/>
    </dxf>
    <dxf>
      <numFmt numFmtId="172" formatCode="0.00000"/>
    </dxf>
    <dxf>
      <numFmt numFmtId="173" formatCode="0.000000"/>
    </dxf>
    <dxf>
      <fill>
        <patternFill>
          <bgColor theme="5" tint="0.59996337778862885"/>
        </patternFill>
      </fill>
    </dxf>
    <dxf>
      <fill>
        <patternFill>
          <bgColor theme="7" tint="0.59996337778862885"/>
        </patternFill>
      </fill>
    </dxf>
    <dxf>
      <fill>
        <patternFill>
          <bgColor theme="4" tint="0.59996337778862885"/>
        </patternFill>
      </fill>
    </dxf>
    <dxf>
      <fill>
        <patternFill>
          <bgColor theme="9" tint="0.59996337778862885"/>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BRMAN01-SRV-05\MANGOODIM$\Documents\Projects\CoA%20-%20Revenue%20and%20Allowances\Market%20Mapping\FitGap\Allowances_Canad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sheetName val="Instruction"/>
      <sheetName val="Decision Tree"/>
      <sheetName val="Examples"/>
      <sheetName val="CoA - New Structure"/>
      <sheetName val="Template"/>
    </sheetNames>
    <sheetDataSet>
      <sheetData sheetId="0"/>
      <sheetData sheetId="1" refreshError="1"/>
      <sheetData sheetId="2" refreshError="1"/>
      <sheetData sheetId="3" refreshError="1"/>
      <sheetData sheetId="4" refreshError="1"/>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odier, Mark" refreshedDate="43308.70807025463" createdVersion="6" refreshedVersion="6" minRefreshableVersion="3" recordCount="593" xr:uid="{00000000-000A-0000-FFFF-FFFF04000000}">
  <cacheSource type="worksheet">
    <worksheetSource ref="A1:Q597" sheet="Master List"/>
  </cacheSource>
  <cacheFields count="17">
    <cacheField name="Review" numFmtId="0">
      <sharedItems containsMixedTypes="1" containsNumber="1" containsInteger="1" minValue="0" maxValue="0"/>
    </cacheField>
    <cacheField name="Market" numFmtId="0">
      <sharedItems/>
    </cacheField>
    <cacheField name="Company Code" numFmtId="0">
      <sharedItems containsMixedTypes="1" containsNumber="1" containsInteger="1" minValue="1100" maxValue="2322"/>
    </cacheField>
    <cacheField name="Allowance Type" numFmtId="0">
      <sharedItems/>
    </cacheField>
    <cacheField name="Detailed Description" numFmtId="0">
      <sharedItems longText="1"/>
    </cacheField>
    <cacheField name="Beneficiary" numFmtId="0">
      <sharedItems containsBlank="1"/>
    </cacheField>
    <cacheField name="Current JTIO" numFmtId="0">
      <sharedItems containsBlank="1"/>
    </cacheField>
    <cacheField name="Current P&amp;L Line (Auto)" numFmtId="0">
      <sharedItems count="4">
        <s v="Trade Allowances"/>
        <s v="Marketing Allowances"/>
        <s v="Other Sales Allowances"/>
        <s v=""/>
      </sharedItems>
    </cacheField>
    <cacheField name="New_x000a_JTIO" numFmtId="0">
      <sharedItems containsBlank="1"/>
    </cacheField>
    <cacheField name="SD or non-SD" numFmtId="0">
      <sharedItems containsBlank="1"/>
    </cacheField>
    <cacheField name="New P&amp;L Line" numFmtId="0">
      <sharedItems containsBlank="1" count="5">
        <s v="Marketing Allowances"/>
        <s v="Price Allowances"/>
        <s v="Distribution Allowances"/>
        <s v="Sales Adjustments / Returns"/>
        <m/>
      </sharedItems>
    </cacheField>
    <cacheField name="SD" numFmtId="0">
      <sharedItems containsString="0" containsBlank="1" containsNumber="1" minValue="-0.21362289726454953" maxValue="50"/>
    </cacheField>
    <cacheField name="Non-SD" numFmtId="165">
      <sharedItems containsBlank="1" containsMixedTypes="1" containsNumber="1" minValue="-4.164831460674157" maxValue="232.35550679301929"/>
    </cacheField>
    <cacheField name="Product_x000a_(Type &amp; Brand)" numFmtId="165">
      <sharedItems containsString="0" containsBlank="1" containsNumber="1" minValue="-4.2" maxValue="232.35550679301929"/>
    </cacheField>
    <cacheField name="GSC SKU" numFmtId="165">
      <sharedItems containsBlank="1" containsMixedTypes="1" containsNumber="1" minValue="-2.1036445245901598" maxValue="232.35550679301929"/>
    </cacheField>
    <cacheField name="Customer" numFmtId="0">
      <sharedItems containsBlank="1" containsMixedTypes="1" containsNumber="1" minValue="-4.164831460674157" maxValue="232.35550679301929"/>
    </cacheField>
    <cacheField name="New MA" numFmtId="0">
      <sharedItems containsBlank="1" containsMixedTypes="1" containsNumber="1" minValue="-4.164831460674157" maxValue="232.355506793019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93">
  <r>
    <s v="OK"/>
    <s v="Ireland"/>
    <n v="2102"/>
    <s v="Trade Reward Agreements"/>
    <s v="Volume target based performance program settled with cash "/>
    <s v="Retailer"/>
    <s v="308011 Trade Allowance booked outside SD"/>
    <x v="0"/>
    <s v="351400 Retail Allowances"/>
    <s v="N/A"/>
    <x v="0"/>
    <m/>
    <m/>
    <m/>
    <m/>
    <m/>
    <n v="7.2"/>
  </r>
  <r>
    <s v="OK"/>
    <s v="Ireland"/>
    <n v="2102"/>
    <s v="Pricing Discounts"/>
    <s v="This is promotional / strategic price discounting provided to the final consumers, allowing them to get products at a reduced price (it is not price discounting to the retailer)"/>
    <s v="End Consumer"/>
    <s v="308010 Trade Allowance"/>
    <x v="0"/>
    <s v="341100 Consumer allowances - SD"/>
    <s v="SD"/>
    <x v="1"/>
    <n v="0.1"/>
    <m/>
    <m/>
    <m/>
    <m/>
    <m/>
  </r>
  <r>
    <s v="OK"/>
    <s v="Ireland"/>
    <n v="2102"/>
    <s v="Pricing Discounts"/>
    <s v="This is promotional / strategic price discounting provided to the final consumers, allowing them to get products at a reduced price (it is not price discounting to the retailer)"/>
    <s v="End Consumer"/>
    <s v="308010 Trade Allowance"/>
    <x v="0"/>
    <s v="341108 Consumer allowances - Non-SD"/>
    <s v="Non-SD"/>
    <x v="1"/>
    <m/>
    <n v="0.1"/>
    <n v="0.1"/>
    <n v="0"/>
    <m/>
    <m/>
  </r>
  <r>
    <s v="OK"/>
    <s v="Ireland"/>
    <n v="2102"/>
    <s v="Sales Information"/>
    <s v="Agreements with retailer on which they agree to provide us with POS data"/>
    <s v="Retailer"/>
    <s v="502455 BTLTrade/MerchAllowShelfAllowDistributionMaintFee"/>
    <x v="1"/>
    <s v="351500 Sales/Marketing Information Systems"/>
    <s v="N/A"/>
    <x v="0"/>
    <m/>
    <m/>
    <m/>
    <m/>
    <m/>
    <m/>
  </r>
  <r>
    <s v="OK"/>
    <s v="Canada"/>
    <n v="1118"/>
    <s v="Wholesale Partnership Program"/>
    <s v="Reward program based on fulfillment of certain conditions by wholesalers (data access, cash payment etc.)"/>
    <s v="Wholesaler"/>
    <s v="306010 Cash Discount"/>
    <x v="2"/>
    <s v="341500 Distributor / Wholesaler / Freight allowances - SD"/>
    <s v="SD"/>
    <x v="2"/>
    <n v="14.1"/>
    <m/>
    <m/>
    <m/>
    <m/>
    <m/>
  </r>
  <r>
    <s v="OK"/>
    <s v="Canada"/>
    <n v="1118"/>
    <s v="Wholesale Partnership Program (Manual Adjustments)"/>
    <s v="Reward program based on fulfillment of certain conditions by wholesalers (data access, cash payment etc.)"/>
    <s v="Wholesaler"/>
    <s v="306015 Cash discount other"/>
    <x v="2"/>
    <s v="341508 Distributor / Wholesaler / Freight allowances - Non-SD"/>
    <s v="Non-SD"/>
    <x v="2"/>
    <m/>
    <n v="0.01"/>
    <n v="0"/>
    <n v="0"/>
    <m/>
    <m/>
  </r>
  <r>
    <s v="OK"/>
    <s v="Canada"/>
    <n v="1118"/>
    <s v="Retail Contracts (RDBC) Performance"/>
    <s v="Incentive paid to a retailer as a reward for meeting certain performance criteria (does not make tobacco products visible)"/>
    <s v="Retailer"/>
    <s v="502455 BTLTrade/MerchAllowShelfAllowDistributionMaintFee"/>
    <x v="1"/>
    <s v="351400 Retail Allowances"/>
    <s v="N/A"/>
    <x v="0"/>
    <m/>
    <m/>
    <m/>
    <m/>
    <n v="0"/>
    <n v="0"/>
  </r>
  <r>
    <s v="OK"/>
    <s v="Canada"/>
    <n v="1118"/>
    <s v="Retail Contracts (RDBC) Service"/>
    <s v="Incentive paid to a retailer as a reward for providing certain services (does not make tobacco products visible)"/>
    <s v="Retailer"/>
    <s v="502455 BTLTrade/MerchAllowShelfAllowDistributionMaintFee"/>
    <x v="1"/>
    <s v="351400 Retail Allowances"/>
    <s v="N/A"/>
    <x v="0"/>
    <m/>
    <m/>
    <m/>
    <m/>
    <n v="0"/>
    <n v="0"/>
  </r>
  <r>
    <s v="OK"/>
    <s v="Canada"/>
    <n v="1118"/>
    <s v="Drystock Fee"/>
    <s v="Service fee for wholesaler to process returns"/>
    <s v="Wholesaler"/>
    <s v="308010 Trade Allowance"/>
    <x v="0"/>
    <s v="341500 Distributor / Wholesaler / Freight allowances - SD"/>
    <s v="SD"/>
    <x v="2"/>
    <n v="0.1"/>
    <m/>
    <m/>
    <m/>
    <m/>
    <m/>
  </r>
  <r>
    <s v="OK"/>
    <s v="Canada"/>
    <n v="1118"/>
    <s v="TITP"/>
    <s v="Revenue reduction for TITP related goods used to offset amounts included within gross sales"/>
    <s v="Retailer"/>
    <s v="308020 Trade Incentive Tob Prod Allowance"/>
    <x v="0"/>
    <s v="341400 TITP allowances - SD"/>
    <s v="SD"/>
    <x v="3"/>
    <n v="0.7"/>
    <m/>
    <m/>
    <m/>
    <m/>
    <m/>
  </r>
  <r>
    <s v="OK"/>
    <s v="Canada"/>
    <n v="1118"/>
    <s v="Volume Growth Programs (Cash)"/>
    <s v="Volume target based performance program for retailers settled with cash"/>
    <s v="Retailer"/>
    <s v="502455 BTLTrade/MerchAllowShelfAllowDistributionMaintFee"/>
    <x v="1"/>
    <s v="351400 Retail Allowances"/>
    <s v="N/A"/>
    <x v="0"/>
    <m/>
    <m/>
    <m/>
    <m/>
    <n v="0"/>
    <n v="0"/>
  </r>
  <r>
    <s v="OK"/>
    <s v="Canada"/>
    <n v="1118"/>
    <s v="Volume Growth Programs (Giftcards)"/>
    <s v="Volume target based performance program for retailers settled with gift vouchers (required to be identified separately for tax purposes)"/>
    <s v="Retailer"/>
    <s v="502555 BTLTrade/MerchAllowBusDvlp/GrowthIncentDistrGains"/>
    <x v="1"/>
    <s v="351400 Retail Allowances"/>
    <s v="N/A"/>
    <x v="0"/>
    <m/>
    <m/>
    <m/>
    <m/>
    <n v="0"/>
    <n v="0"/>
  </r>
  <r>
    <s v="OK"/>
    <s v="Canada"/>
    <n v="1118"/>
    <s v="Inventory Service Programs (ISP) / Margin Play"/>
    <s v="Reward program to ensure the availability of the product in retailers"/>
    <s v="Retailer"/>
    <s v="502455 BTLTrade/MerchAllowShelfAllowDistributionMaintFee"/>
    <x v="1"/>
    <s v="351400 Retail Allowances"/>
    <s v="N/A"/>
    <x v="0"/>
    <m/>
    <m/>
    <m/>
    <m/>
    <n v="0"/>
    <n v="0"/>
  </r>
  <r>
    <s v="OK"/>
    <s v="Canada"/>
    <n v="1118"/>
    <s v="HoReCa Contracts"/>
    <s v="HoReCa Contracts"/>
    <s v="Retailer"/>
    <s v="502455 BTLTrade/MerchAllowShelfAllowDistributionMaintFee"/>
    <x v="1"/>
    <s v="351400 Retail Allowances"/>
    <s v="N/A"/>
    <x v="0"/>
    <m/>
    <m/>
    <m/>
    <m/>
    <n v="0"/>
    <n v="0"/>
  </r>
  <r>
    <s v="OK"/>
    <s v="Canada"/>
    <n v="1118"/>
    <s v="Advantage PLUS loyalty program (Cash)"/>
    <s v="Reward points which retailers can redeem for cash"/>
    <s v="Retailer"/>
    <s v="502455 BTLTrade/MerchAllowShelfAllowDistributionMaintFee"/>
    <x v="1"/>
    <s v="351400 Retail Allowances"/>
    <s v="N/A"/>
    <x v="0"/>
    <m/>
    <m/>
    <m/>
    <m/>
    <n v="0"/>
    <n v="0"/>
  </r>
  <r>
    <s v="OK"/>
    <s v="Canada"/>
    <n v="1118"/>
    <s v="Advantage PLUS loyalty program (Giftcards)"/>
    <s v="Reward points which retailers can redeem for giftcards (required to be identified separately for tax purposes)"/>
    <s v="Retailer"/>
    <s v="502555 BTLTrade/MerchAllowBusDvlp/GrowthIncentDistrGains"/>
    <x v="1"/>
    <s v="351400 Retail Allowances"/>
    <s v="N/A"/>
    <x v="0"/>
    <m/>
    <m/>
    <m/>
    <m/>
    <n v="0"/>
    <n v="0"/>
  </r>
  <r>
    <s v="OK"/>
    <s v="Ukraine"/>
    <n v="1180"/>
    <s v="Listing / Slotting / Visibility Fees"/>
    <s v="JTI pays a third party who in turn buy and transfer non-cash items to retailers. The purpose is to maintain merchandising standards, stock and trade loyalty in Retail."/>
    <s v="Retailer"/>
    <s v="501605 BTLTradePromTradeDirAppeal PrgmsTradeIncentives"/>
    <x v="1"/>
    <s v="351100 Listing / Slotting / Visibility Fees"/>
    <s v="N/A"/>
    <x v="0"/>
    <m/>
    <m/>
    <m/>
    <m/>
    <m/>
    <m/>
  </r>
  <r>
    <s v="OK"/>
    <s v="Ukraine"/>
    <n v="1180"/>
    <s v="Listing / Slotting / Visibility Fees"/>
    <s v="Contracts with HoReCa accounts on which we agree to pay a fee in order to have products placed on their shelves. The main purpose of the contracts is to increase numbers of SKUs and JTI volume. Contracts are annual or multi-year agreements."/>
    <s v="Retailer"/>
    <s v="502250 BTLTrade/MerchAllowancesPOPMPlcmnt-Non-PermIndoor"/>
    <x v="1"/>
    <s v="351100 Listing / Slotting / Visibility Fees"/>
    <s v="N/A"/>
    <x v="0"/>
    <m/>
    <m/>
    <m/>
    <m/>
    <m/>
    <m/>
  </r>
  <r>
    <s v="OK"/>
    <s v="Ukraine"/>
    <n v="1180"/>
    <s v="Listing / Slotting / Visibility Fees"/>
    <s v="Contracts with General Trade accounts on which we agree to pay a fee in order to have products placed on their shelves. The main purpose of the contracts is to increase numbers of SKUs and JTI volume. Contracts are annual or multi-year agreements."/>
    <s v="Retailer"/>
    <s v="502450 BTLTrade/MerchAllowShelfAllowShelfSpaceFee"/>
    <x v="1"/>
    <s v="351100 Listing / Slotting / Visibility Fees"/>
    <s v="N/A"/>
    <x v="0"/>
    <m/>
    <m/>
    <m/>
    <m/>
    <m/>
    <m/>
  </r>
  <r>
    <s v="OK"/>
    <s v="Ukraine"/>
    <n v="1180"/>
    <s v="Listing / Slotting / Visibility Fees"/>
    <s v="Contracts with Key accounts on which we agree to pay a fee in order to have products placed on their shelves. The main purpose of the contracts is to increase numbers of SKUs and JTI volume. Contracts are annual or multi-year agreements."/>
    <s v="Retailer"/>
    <s v="502500 BTLTrade/MerchAllowInStoreAllowDispl/POPMLocatnFee"/>
    <x v="1"/>
    <s v="351100 Listing / Slotting / Visibility Fees"/>
    <s v="N/A"/>
    <x v="0"/>
    <m/>
    <m/>
    <m/>
    <m/>
    <m/>
    <m/>
  </r>
  <r>
    <s v="OK"/>
    <s v="Ukraine"/>
    <n v="1180"/>
    <s v="DISTRIBUTION ALLOWANCE"/>
    <s v="For distribution allowance Ukraine market uses following procedure: _x000a_1)  The Distributor’s discount is included in the price list to Distributor based on the Sales forecast on quarterly basis_x000a_Price list is uploaded to SAP, and the account 301010 “Sales to third parties – cigarettes” (JTIG GL 32020) reflects amount of Gross sales net of provided discount;_x000a_2) Each month, after the Sales are closed in SAP FP&amp;A group proceeds with the adjustment :_x000a_Cr 302098  “Sales manual CO-PA adjustment account” (JTIG 32020)_x000a_Dt 307015  “Distribution allowance” (JTIG 32920)._x000a_The nature of adjustment is to reflect correctly the total Gross Sales as well as to separate the Discount given to Distributor."/>
    <s v="Distributor"/>
    <s v="307015 Distribution allowance"/>
    <x v="0"/>
    <s v="341508 Distributor / Wholesaler / Freight allowances - Non-SD"/>
    <s v="Non-SD"/>
    <x v="2"/>
    <m/>
    <n v="6.9"/>
    <n v="6.9"/>
    <n v="6.9"/>
    <n v="6.9"/>
    <n v="6.9"/>
  </r>
  <r>
    <s v="OK"/>
    <s v="France"/>
    <n v="1107"/>
    <s v="Distribution"/>
    <s v="Logista (the distributor) buys JTI Tobacco product and distributes them from Logista warehouses to the Tobacconist. JTI invoices to Logista the invoice price reduced by the distribution fee. Contractually agreed."/>
    <s v="Distributor"/>
    <s v="307016 Distribution commissions"/>
    <x v="0"/>
    <s v="341500 Distributor / Wholesaler / Freight allowances - SD"/>
    <s v="SD"/>
    <x v="2"/>
    <n v="34.794382022471915"/>
    <m/>
    <m/>
    <m/>
    <n v="34.794382022471915"/>
    <n v="34.794382022471915"/>
  </r>
  <r>
    <s v="OK"/>
    <s v="France"/>
    <n v="1107"/>
    <s v="Distribution"/>
    <s v="Annual regularization of the Logista distribution fees paid through SD  (Contractually agreed):_x000a_-Distribution fees regularized with actual sales _x000a_-Other rebates contractually agreed with Logista (annual rebate, general rebate and portfolio rationalization rebate)"/>
    <s v="Distributor"/>
    <s v="307018 Distribution Commissions Manual Adjustment"/>
    <x v="0"/>
    <s v="341508 Distributor / Wholesaler / Freight allowances - Non-SD"/>
    <s v="Non-SD"/>
    <x v="2"/>
    <m/>
    <n v="-4.164831460674157"/>
    <n v="-4.2"/>
    <n v="0"/>
    <n v="-4.164831460674157"/>
    <n v="-4.164831460674157"/>
  </r>
  <r>
    <s v="OK"/>
    <s v="France"/>
    <n v="1107"/>
    <s v="Distribution"/>
    <s v="JTI pays Logista for orher logistical services (via PR/PO):_x000a_- Freight services to transfer JTI products between Logista warehouses_x000a_- Availibity fees to get JTI products in Logista restocking centers (emergency warehouses)"/>
    <s v="Distributor"/>
    <s v="307018 Distribution Commissions Manual Adjustment"/>
    <x v="0"/>
    <s v="341508 Distributor / Wholesaler / Freight allowances - Non-SD"/>
    <s v="Non-SD"/>
    <x v="2"/>
    <m/>
    <n v="2.0269662921348313"/>
    <n v="2.0269662921348313"/>
    <n v="0"/>
    <n v="2.0269662921348313"/>
    <n v="2.0269662921348313"/>
  </r>
  <r>
    <s v="OK"/>
    <s v="France"/>
    <n v="1107"/>
    <s v="Distribution"/>
    <s v="Logista Stock revaluation (Contractually agreed): Whenever LOGISTA FRANCE records a capital gain (or a capital loss) on the stock in LOGISTA FRANCE’s Bonded Warehouses following a change in the Net Selling Price, the gain (or loss) recorded will be shared 50/50 between Logista and JTI.  "/>
    <s v="Distributor"/>
    <s v="307018 Distribution Commissions Manual Adjustment"/>
    <x v="0"/>
    <s v="341508 Distributor / Wholesaler / Freight allowances - Non-SD"/>
    <s v="Non-SD"/>
    <x v="2"/>
    <m/>
    <n v="0.66741573033707857"/>
    <n v="0.66741573033707857"/>
    <n v="0"/>
    <n v="0.66741573033707857"/>
    <n v="0.66741573033707857"/>
  </r>
  <r>
    <s v="OK"/>
    <s v="France"/>
    <n v="1107"/>
    <s v="Marketing"/>
    <s v="Distributor information services - market data (Core + RRP):_x000a_- Sell-in data provided by Logista (Industry size, Sales by competitor, by segment, SoM…)_x000a_- Sell-out data at POS provided by Logista "/>
    <s v="Distributor"/>
    <s v="502010 BTLSalesInformationPurchasePOPDataPOPDataPurchas"/>
    <x v="1"/>
    <s v="351500 Sales/Marketing Information Systems"/>
    <s v="N/A"/>
    <x v="0"/>
    <m/>
    <m/>
    <m/>
    <m/>
    <n v="1.1123595505617978"/>
    <n v="1.1123595505617978"/>
  </r>
  <r>
    <s v="OK"/>
    <s v="France"/>
    <n v="1107"/>
    <s v="Marketing"/>
    <s v="Agreements with key accounts (indirect customers) on which they agree to provide JTI a set of data of consumer and sales information."/>
    <s v="Other"/>
    <s v="502010 BTLSalesInformationPurchasePOPDataPOPDataPurchas"/>
    <x v="1"/>
    <s v="351500 Sales/Marketing Information Systems"/>
    <s v="N/A"/>
    <x v="0"/>
    <m/>
    <m/>
    <m/>
    <m/>
    <n v="0.15730337078651688"/>
    <n v="0.15730337078651688"/>
  </r>
  <r>
    <s v="OK"/>
    <s v="France"/>
    <n v="1107"/>
    <s v="Distribution"/>
    <s v="On-line RRP products: Freight allowances given to customers as a discount (as a deduction of freight costs charged/invoiced to the end consumers)."/>
    <s v="End Consumer"/>
    <s v="307010 Freight Allowance"/>
    <x v="0"/>
    <s v="341100 Consumer allowances - SD"/>
    <s v="SD"/>
    <x v="1"/>
    <n v="0.01"/>
    <m/>
    <m/>
    <m/>
    <m/>
    <m/>
  </r>
  <r>
    <s v="OK"/>
    <s v="France"/>
    <n v="1107"/>
    <s v="Marketing"/>
    <s v="Retail RRP products: free products distributed by Atlantiq (distributor) to the retailers based on the orders (volume grid). A credit note is issued by JTI to Atlantiq. "/>
    <s v="Retailer"/>
    <s v="308020 Trade Incentive Tob Prod Allowance"/>
    <x v="0"/>
    <s v="341408 TITP Allowances - Non-SD"/>
    <s v="Non-SD"/>
    <x v="3"/>
    <m/>
    <n v="0.3"/>
    <n v="0.3"/>
    <n v="0.3"/>
    <n v="0.3"/>
    <n v="0.3"/>
  </r>
  <r>
    <s v="OK"/>
    <s v="France"/>
    <n v="1107"/>
    <s v="Discount"/>
    <s v="On-line RRP products: amount given to customers as a discount."/>
    <s v="End Consumer"/>
    <s v="310010 Consumer Allowance"/>
    <x v="0"/>
    <s v="341100 Consumer allowances - SD"/>
    <s v="SD"/>
    <x v="1"/>
    <n v="0.01"/>
    <m/>
    <m/>
    <m/>
    <m/>
    <m/>
  </r>
  <r>
    <s v="OK"/>
    <s v="France"/>
    <n v="1107"/>
    <s v="Distribution"/>
    <s v="RRP related commissions paid to Amazon and C-discount  based on achieved sales on respective Marketplaces._x000a__x000a_Fullfillement costs paid  to Marketplaces for providing shipping services to end consummer."/>
    <s v="Distributor"/>
    <s v="307015 Distribution allowance"/>
    <x v="0"/>
    <s v="341508 Distributor / Wholesaler / Freight allowances - Non-SD"/>
    <s v="Non-SD"/>
    <x v="2"/>
    <m/>
    <n v="0.04"/>
    <n v="0.04"/>
    <n v="0.04"/>
    <m/>
    <m/>
  </r>
  <r>
    <s v="OK"/>
    <s v="France"/>
    <n v="1107"/>
    <s v="Distribution"/>
    <s v="JTI pays Logista for other logistical services (via PR/PO):_x000a__x000a_- Damaged products / issue quality/ not selllable products"/>
    <s v="Distributor"/>
    <s v="307018 Distribution Commissions Manual Adjustment"/>
    <x v="0"/>
    <s v="341308 Sales/Returns allowances - Non-SD"/>
    <s v="Non-SD"/>
    <x v="3"/>
    <m/>
    <n v="0.02"/>
    <n v="0.02"/>
    <n v="0"/>
    <n v="0.02"/>
    <n v="0.02"/>
  </r>
  <r>
    <s v="OK"/>
    <s v="Singapore"/>
    <n v="1277"/>
    <s v="Trd distribution"/>
    <s v="Fee paid to Retailers for distributing are products from their central warehouse. Book manually."/>
    <s v="Retailer"/>
    <s v="502455 BTLTrade/MerchAllowShelfAllowDistributionMaintFee"/>
    <x v="1"/>
    <s v="341508 Distributor / Wholesaler / Freight allowances - Non-SD"/>
    <s v="Non-SD"/>
    <x v="2"/>
    <m/>
    <n v="1.2"/>
    <n v="1.2"/>
    <n v="0"/>
    <m/>
    <m/>
  </r>
  <r>
    <s v="OK"/>
    <s v="Singapore"/>
    <n v="1277"/>
    <s v="Trd incentives"/>
    <s v="Incentive paid to Retailers to promote selling our product. Book manually."/>
    <s v="Retailer"/>
    <s v="501605 BTLTradePromTradeDirAppeal PrgmsTradeIncentives"/>
    <x v="1"/>
    <s v="351400 Retail Allowances"/>
    <s v="N/A"/>
    <x v="0"/>
    <m/>
    <m/>
    <m/>
    <m/>
    <m/>
    <m/>
  </r>
  <r>
    <s v="OK"/>
    <s v="Singapore"/>
    <n v="1277"/>
    <s v="Trd listing"/>
    <s v="Fee paid to Key Accounts for listing / displaying our products. Book manually."/>
    <s v="Retailer"/>
    <s v="502570 BTLTradMerchAllowBusDvlGrowthIncentNewIntroListFee"/>
    <x v="1"/>
    <s v="351100 Listing / Slotting / Visibility Fees"/>
    <s v="N/A"/>
    <x v="0"/>
    <m/>
    <m/>
    <m/>
    <m/>
    <m/>
    <m/>
  </r>
  <r>
    <s v="OK"/>
    <s v="Singapore"/>
    <n v="1277"/>
    <s v="ConDirInentPriceDisc"/>
    <s v="Price discounts provided to consumers via Retailers"/>
    <s v="Retailer"/>
    <s v="502660 BTLCons PromConsumer Dir AppealPriceDiscount"/>
    <x v="1"/>
    <s v="341108 Consumer allowances - Non-SD"/>
    <s v="Non-SD"/>
    <x v="1"/>
    <m/>
    <n v="3.5"/>
    <n v="3.5"/>
    <n v="0"/>
    <m/>
    <m/>
  </r>
  <r>
    <s v="OK"/>
    <s v="Denmark"/>
    <n v="2302"/>
    <s v="Trade Allowances"/>
    <s v="Free of charge cigarettes (FoC) are given to retailers as listing fees and to wholesalers as samples when new product is launched. Sales order type Z111 is maintained for such distributions. Posting generated in SAP: Cr Sales, Dr Trande allowances with result on Net Sales 0. Note: amount is column M is 2017 spending because FoC are not planned because of offset with Gross Sales"/>
    <s v="Retailer"/>
    <s v="308020 Trade Incentive Tob Prod Allowance"/>
    <x v="0"/>
    <s v="341400 TITP allowances - SD"/>
    <s v="SD"/>
    <x v="3"/>
    <n v="0.5"/>
    <m/>
    <m/>
    <m/>
    <m/>
    <m/>
  </r>
  <r>
    <s v="OK"/>
    <s v="Denmark"/>
    <n v="2302"/>
    <s v="Marketing Allowances"/>
    <s v="Payment to trade (customers)for the introduction of a new brand or SKU."/>
    <s v="Retailer"/>
    <s v="502570 BTLTradMerchAllowBusDvlGrowthIncentNewIntroListFee"/>
    <x v="1"/>
    <s v="351100 Listing / Slotting / Visibility Fees"/>
    <s v="N/A"/>
    <x v="0"/>
    <m/>
    <m/>
    <m/>
    <m/>
    <m/>
    <m/>
  </r>
  <r>
    <s v="OK"/>
    <s v="Denmark"/>
    <n v="2302"/>
    <s v="Marketing Allowances"/>
    <s v="Payments to trade (customers)for maintaining JTIs planogram in a pre agreed position for a specified period."/>
    <s v="Retailer"/>
    <s v="502505 BTLTrade/MerchAllowInStoreAllowPlanogramsfee"/>
    <x v="1"/>
    <s v="351100 Listing / Slotting / Visibility Fees"/>
    <s v="N/A"/>
    <x v="0"/>
    <m/>
    <m/>
    <m/>
    <m/>
    <m/>
    <m/>
  </r>
  <r>
    <s v="OK"/>
    <s v="Denmark"/>
    <n v="2302"/>
    <s v="Marketing Allowances"/>
    <s v="Payments to trade (customers)to obtain a desired shelf space / shelf position for a specified period of time."/>
    <s v="Retailer"/>
    <s v="502450 BTLTrade/MerchAllowShelfAllowShelfSpaceFee"/>
    <x v="1"/>
    <s v="351100 Listing / Slotting / Visibility Fees"/>
    <s v="N/A"/>
    <x v="0"/>
    <m/>
    <m/>
    <m/>
    <m/>
    <m/>
    <m/>
  </r>
  <r>
    <s v="OK"/>
    <s v="Denmark"/>
    <n v="2302"/>
    <s v="Marketing Allowances"/>
    <s v="Payments to trade (customers)for POP information collection and / or exchange (when can only be obtained from customer)."/>
    <s v="Distributor"/>
    <s v="502010 BTLSalesInformationPurchasePOPDataPOPDataPurchas"/>
    <x v="1"/>
    <s v="351500 Sales/Marketing Information Systems"/>
    <s v="N/A"/>
    <x v="0"/>
    <m/>
    <m/>
    <m/>
    <m/>
    <m/>
    <m/>
  </r>
  <r>
    <s v="OK"/>
    <s v="Denmark"/>
    <n v="2302"/>
    <s v="Marketing Allowances"/>
    <s v="Payments to trade (customers)for achieving individual pre-agreed volume growth objectives for JTI and/or its individual brands. PO is being opened for such expenses"/>
    <s v="Wholesaler"/>
    <s v="502550 BTLTrade/MerchAllowBusDvlp/GrowthIncentVolGrowth"/>
    <x v="1"/>
    <s v="341508 Distributor / Wholesaler / Freight allowances - Non-SD"/>
    <s v="Non-SD"/>
    <x v="2"/>
    <m/>
    <n v="0.03"/>
    <n v="0"/>
    <n v="0"/>
    <m/>
    <m/>
  </r>
  <r>
    <s v="OK"/>
    <s v="Denmark"/>
    <n v="2302"/>
    <s v="Marketing Allowances"/>
    <s v="Payments to trade (customers)for achieving individual pre-agreed volume growth objectives for JTI and/or its individual brands. Manual calculation to Reitan (customer 1126751) based on orders placed during month. Discount is calculated as per rates stated in agreement"/>
    <s v="Wholesaler"/>
    <s v="502550 BTLTrade/MerchAllowBusDvlp/GrowthIncentVolGrowth"/>
    <x v="1"/>
    <s v="341508 Distributor / Wholesaler / Freight allowances - Non-SD"/>
    <s v="Non-SD"/>
    <x v="2"/>
    <m/>
    <n v="0.02"/>
    <n v="0"/>
    <n v="0"/>
    <m/>
    <m/>
  </r>
  <r>
    <s v="OK"/>
    <s v="Denmark"/>
    <n v="2302"/>
    <s v="Marketing Allowances"/>
    <s v="Payments to trade (customers)for maintaining specific positions selected by JTI for Point of Placement Material for specified period. More than 12 month._x000a_Also includes loyalty schemes for keeping POPM in place."/>
    <m/>
    <s v="502500 BTLTrade/MerchAllowInStoreAllowDispl/POPMLocatnFee"/>
    <x v="1"/>
    <s v="351200 Trade POPMs Placement Fees - PERMANENT"/>
    <s v="N/A"/>
    <x v="0"/>
    <m/>
    <m/>
    <m/>
    <m/>
    <m/>
    <m/>
  </r>
  <r>
    <s v="OK"/>
    <s v="Denmark"/>
    <n v="2302"/>
    <s v="Marketing Allowances"/>
    <s v="Payments to trade (customers)for maintaining specific positions selected by JTI for Point of Placement Material for specified period. Less than 12 month._x000a_Also includes loyalty schemes for keeping POPM in place."/>
    <m/>
    <s v="502500 BTLTrade/MerchAllowInStoreAllowDispl/POPMLocatnFee"/>
    <x v="1"/>
    <s v="351300 Trade POPMs Placement Fees - TEMPORARY"/>
    <s v="N/A"/>
    <x v="0"/>
    <m/>
    <m/>
    <m/>
    <m/>
    <m/>
    <m/>
  </r>
  <r>
    <s v="OK"/>
    <s v="Russia"/>
    <n v="1178"/>
    <s v="Distributor fees"/>
    <s v="Fees paid to distributors to perform selling activities. They are usually $/Mstick and contractually agreed. This includes all the payments to distributors with the aim of maintaining a pre-defined margin "/>
    <s v="Distributor"/>
    <s v="307015 Distribution allowance"/>
    <x v="0"/>
    <s v="341508 Distributor / Wholesaler / Freight allowances - Non-SD"/>
    <s v="Non-SD"/>
    <x v="2"/>
    <m/>
    <n v="232.35550679301929"/>
    <n v="232.35550679301929"/>
    <n v="232.35550679301929"/>
    <n v="232.35550679301929"/>
    <n v="232.35550679301929"/>
  </r>
  <r>
    <s v="OK"/>
    <s v="Russia"/>
    <n v="1178"/>
    <s v="Services provided by Distributor: Active Customer Base (ACB) Services"/>
    <s v="Remuneration to Distributor for the rendered service as per Distribution Agreement. Active Customer Base (ACB) Service - Distributor has to achieve targets on share of sales to retailers in total Distributor's shipments_x000a_"/>
    <s v="Distributor"/>
    <s v="307015 Distribution allowance"/>
    <x v="0"/>
    <s v="341508 Distributor / Wholesaler / Freight allowances - Non-SD"/>
    <s v="Non-SD"/>
    <x v="2"/>
    <m/>
    <n v="5.7742713879107033"/>
    <n v="5.7742713879107033"/>
    <n v="5.7742713879107033"/>
    <n v="5.7742713879107033"/>
    <n v="5.7742713879107033"/>
  </r>
  <r>
    <s v="OK"/>
    <s v="Russia"/>
    <n v="1178"/>
    <s v="Services provided by Distributor: Handling Services"/>
    <s v="Remuneration to Distributor for the rendered service as per Distribution agreement. Handling Service - quantity of SKUs sold by Distributor to retailers excepting Key Accounts"/>
    <s v="Distributor"/>
    <s v="307015 Distribution allowance"/>
    <x v="0"/>
    <s v="341508 Distributor / Wholesaler / Freight allowances - Non-SD"/>
    <s v="Non-SD"/>
    <x v="2"/>
    <m/>
    <n v="3.8507617447275067"/>
    <n v="3.8507617447275067"/>
    <n v="3.8507617447275067"/>
    <n v="3.8507617447275067"/>
    <n v="3.8507617447275067"/>
  </r>
  <r>
    <s v="OK"/>
    <s v="Russia"/>
    <n v="1178"/>
    <s v="Services provided by Distributor: Information services"/>
    <s v="1) Provision of data by Megapolis via data exchange system (Data-Exchange): _x000a_- Sales volume of Megapolis by Clients, sales agents, SKU of JTI Goods, MRSP, branches, sub-branches, Cash&amp;Carry, distribution chains and POS_x000a_- Sales of Megapolis to National Key Accounts (in quantity and value according to agreed list)._x000a_2) Data concerning Subdistributors of Megapolis_x000a_3) Stocks of the Goods and Goods in transit on distributor warehouses_x000a_4) Megapolis Accounts Receivable in respect of sales of JTI Goods by distribution chains and clients _x000a_5) Report on sales of Goods to Clients of Megapolis in monetary value by distribution chains and clients _x000a_6) Stock of Goods on warehouses of wholesale operators (volume)_x000a_7) List of clients of Megapolis_x000a_8) Quantity as per Staff schedule of sales agents of all formats, drivers, supervisors of sales agents, total quantity  as per Staff schedule_x000a_9) Claims of Megapolis against carriers of JTI (status: paid/unpaid)_x000a_10) Quantity of POS visited (coverage of Megapolis), active customer base (ACB) of Distributor and Subdistributors _x000a_11) Quantity of visits per day (plan and fact), average frequency of visits_x000a_12) Confirmation of Must SKUs of JTI_x000a_13) Share % of JTI product sales in total sales of distributor_x000a_14) Regional organization structure with contact details on key management positions _x000a_15) Copies of financial and auditor's reports_x000a_16) Other information as per JTI request"/>
    <s v="Distributor"/>
    <s v="307015 Distribution allowance"/>
    <x v="0"/>
    <s v="341508 Distributor / Wholesaler / Freight allowances - Non-SD"/>
    <s v="Non-SD"/>
    <x v="2"/>
    <m/>
    <n v="1.2860822204832427"/>
    <n v="1.2860822204832427"/>
    <n v="1.2860822204832427"/>
    <n v="1.2860822204832427"/>
    <n v="1.2860822204832427"/>
  </r>
  <r>
    <s v="OK"/>
    <s v="Russia"/>
    <n v="1178"/>
    <s v="Compensation given to distributor for projects realization"/>
    <s v="Bonuses to trade, Drive Team (Field Force motivation), stock compensation, etc."/>
    <s v="Distributor"/>
    <s v="307015 Distribution allowance"/>
    <x v="0"/>
    <s v="341508 Distributor / Wholesaler / Freight allowances - Non-SD"/>
    <s v="Non-SD"/>
    <x v="2"/>
    <m/>
    <n v="20.949912211765053"/>
    <n v="20.949912211765053"/>
    <n v="20.949912211765053"/>
    <n v="20.949912211765053"/>
    <n v="20.949912211765053"/>
  </r>
  <r>
    <s v="OK"/>
    <s v="Russia"/>
    <n v="1178"/>
    <s v="TITP allowances"/>
    <s v="Revenue reduction, related to TITP distributed by Megapolis."/>
    <s v="Distributor"/>
    <s v="302098 (Sales manual CO-PA adjustment account)"/>
    <x v="3"/>
    <s v="341408 TITP Allowances - Non-SD"/>
    <s v="Non-SD"/>
    <x v="3"/>
    <m/>
    <n v="42.9"/>
    <n v="42.9"/>
    <m/>
    <n v="42.9"/>
    <n v="42.9"/>
  </r>
  <r>
    <s v="OK"/>
    <s v="Russia"/>
    <n v="1178"/>
    <s v="Slotting / listing fees / Visibility fees"/>
    <s v="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Contracts are annual or multi-year agreements. Retailer remuneration has fixed cost for agreed assortment, stock level compliance, out of stock elimination, JTI POSM placement and variable cost for minimum stock level (Pay for Service) "/>
    <s v="Retailer"/>
    <s v="502450 BTLTrade/MerchAllowShelfAllowShelfSpaceFee"/>
    <x v="1"/>
    <s v="351100 Listing / Slotting / Visibility Fees"/>
    <s v="N/A"/>
    <x v="0"/>
    <m/>
    <m/>
    <m/>
    <m/>
    <m/>
    <m/>
  </r>
  <r>
    <s v="OK"/>
    <s v="Russia"/>
    <n v="1178"/>
    <s v="Trade information program in Key Account "/>
    <s v="Payment to retailers for information provided to consumers regarding JTI products, that supports visibility of product. Direct contracts with Key Accounts for Trade Information program"/>
    <s v="Retailer"/>
    <s v="502450 BTLTrade/MerchAllowShelfAllowShelfSpaceFee"/>
    <x v="1"/>
    <s v="351100 Listing / Slotting / Visibility Fees"/>
    <s v="N/A"/>
    <x v="0"/>
    <m/>
    <m/>
    <m/>
    <m/>
    <m/>
    <m/>
  </r>
  <r>
    <s v="OK"/>
    <s v="Russia"/>
    <n v="1178"/>
    <s v="Consumer information / Sales information"/>
    <s v="Agreements with retailers / key accounts on which they agree to provide us a set data of consumer and sales information."/>
    <s v="Retailer"/>
    <s v="502450 BTLTrade/MerchAllowShelfAllowShelfSpaceFee"/>
    <x v="1"/>
    <s v="351500 Sales/Marketing Information Systems"/>
    <s v="N/A"/>
    <x v="0"/>
    <m/>
    <m/>
    <m/>
    <m/>
    <m/>
    <m/>
  </r>
  <r>
    <s v="OK"/>
    <s v="Russia"/>
    <n v="1178"/>
    <s v="Fees paid to Key Accounts to allow SPIC to be in POSs."/>
    <s v="Fees paid to Key Accounts to allow JTI to provide shop information to customers (SPIC)"/>
    <s v="Retailer"/>
    <s v="502450 BTLTrade/MerchAllowShelfAllowShelfSpaceFee"/>
    <x v="1"/>
    <s v="351100 Listing / Slotting / Visibility Fees"/>
    <s v="N/A"/>
    <x v="0"/>
    <m/>
    <m/>
    <m/>
    <m/>
    <m/>
    <m/>
  </r>
  <r>
    <s v="OK"/>
    <s v="Russia"/>
    <n v="1178"/>
    <s v="Festivals / Events exclusivity"/>
    <s v="Agreements to sell exclusively JTI products in special events. JTI includes usually a cost related to exclusivity sales, to support the administrative/selling costs"/>
    <s v="Retailer"/>
    <s v="502455 BTLTrade/MerchAllowShelfAllowDistributionMaintFee"/>
    <x v="1"/>
    <s v="351100 Listing / Slotting / Visibility Fees"/>
    <s v="N/A"/>
    <x v="0"/>
    <m/>
    <m/>
    <m/>
    <m/>
    <m/>
    <m/>
  </r>
  <r>
    <s v="OK"/>
    <s v="Russia"/>
    <n v="1178"/>
    <s v="Money on mobile phones for consumers (cash payments portion) "/>
    <s v="Money on mobile phones is transferred by the Agency (JTI reimburses this cost)"/>
    <s v="End Consumer"/>
    <s v="502450 BTLTrade/MerchAllowShelfAllowShelfSpaceFee"/>
    <x v="1"/>
    <s v="351500 Sales/Marketing Information Systems"/>
    <s v="N/A"/>
    <x v="0"/>
    <m/>
    <m/>
    <m/>
    <m/>
    <m/>
    <m/>
  </r>
  <r>
    <s v="OK"/>
    <s v="Russia"/>
    <n v="1178"/>
    <s v=" Program for Wholesalers (&quot;Business Navigator&quot;)"/>
    <s v="Compensation given to wholesalers for volume purchased from the distributor, shipment pattern, assotment, stock level compliance"/>
    <s v="Wholesaler"/>
    <s v="502450 BTLTrade/MerchAllowShelfAllowShelfSpaceFee"/>
    <x v="1"/>
    <s v="341508 Distributor / Wholesaler / Freight allowances - Non-SD"/>
    <s v="Non-SD"/>
    <x v="2"/>
    <m/>
    <n v="1.298436130272238"/>
    <n v="1.298436130272238"/>
    <n v="1.298436130272238"/>
    <n v="1.298436130272238"/>
    <n v="1.298436130272238"/>
  </r>
  <r>
    <s v="OK"/>
    <s v="Russia"/>
    <n v="1235"/>
    <s v="Distributor fees (RRP)"/>
    <s v="Fees paid to distributors to perform selling activities. They are usually $/Mstick and contractually agreed. This includes all the payments to distributors with the aim of maintaining a pre-defined margin "/>
    <s v="Distributor"/>
    <s v="307015 Distribution allowance"/>
    <x v="0"/>
    <s v="341508 Distributor / Wholesaler / Freight allowances - Non-SD"/>
    <s v="Non-SD"/>
    <x v="2"/>
    <m/>
    <n v="1.0526372312273855"/>
    <n v="1.0526372312273855"/>
    <n v="1.0526372312273855"/>
    <n v="1.0526372312273855"/>
    <n v="1.0526372312273855"/>
  </r>
  <r>
    <s v="OK"/>
    <s v="Russia"/>
    <n v="1235"/>
    <s v="Services provided by Retailer: E-commerce support (RRP sales)"/>
    <s v="Service related to support of correct work of internet - shop, shop.logicvapes.ru"/>
    <s v="Retailer"/>
    <s v="307015 Distribution allowance"/>
    <x v="0"/>
    <s v="351400 Retail Allowances"/>
    <s v="N/A"/>
    <x v="0"/>
    <m/>
    <m/>
    <m/>
    <m/>
    <m/>
    <n v="-1.3"/>
  </r>
  <r>
    <s v="OK"/>
    <s v="Russia"/>
    <n v="1235"/>
    <s v="Services provided by Retailer: Marketing Action  - free delivery (RRP sales)"/>
    <s v="Free delivery to consumer arranged by E-commerce and reimbursed by JTI"/>
    <s v="Retailer"/>
    <s v="307015 Distribution allowance"/>
    <x v="0"/>
    <s v="341508 Distributor / Wholesaler / Freight allowances - Non-SD"/>
    <s v="Non-SD"/>
    <x v="2"/>
    <m/>
    <n v="0"/>
    <n v="0"/>
    <n v="0"/>
    <s v=".0.0"/>
    <s v=".0.0"/>
  </r>
  <r>
    <s v="OK"/>
    <s v="Russia"/>
    <n v="1235"/>
    <s v="Services provided by Retailer: Marketing Action  - discount to retail (RRP sales)"/>
    <s v="Discount to retail price provided by E-commerce to consumer and reimbursed by JTI"/>
    <s v="End Consumer"/>
    <s v="307015 Distribution allowance"/>
    <x v="0"/>
    <s v="341108 Consumer allowances - Non-SD"/>
    <s v="Non-SD"/>
    <x v="1"/>
    <m/>
    <n v="3.8757928333333336E-3"/>
    <n v="3.8757928333333336E-3"/>
    <n v="3.8757928333333336E-3"/>
    <n v="3.8757928333333336E-3"/>
    <n v="3.8757928333333336E-3"/>
  </r>
  <r>
    <s v="OK"/>
    <s v="Russia"/>
    <n v="1235"/>
    <s v="TITP allowances (RRP)"/>
    <s v="Revenue reduction, related to TITP distributed by Distributor/Retailer."/>
    <s v="Retailer"/>
    <s v="308020 Trade Incentive Tob Prod Allowance"/>
    <x v="0"/>
    <s v="341408 TITP Allowances - Non-SD"/>
    <s v="Non-SD"/>
    <x v="3"/>
    <m/>
    <n v="1E-3"/>
    <n v="1E-3"/>
    <n v="1E-3"/>
    <n v="1E-3"/>
    <n v="1E-3"/>
  </r>
  <r>
    <s v="OK"/>
    <s v="Russia"/>
    <n v="1235"/>
    <s v="Slotting / listing fees / Visibility fees"/>
    <s v="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
    <s v="Retailer"/>
    <s v="502455 BTLTrade/MerchAllowShelfAllowDistributionMaintFee"/>
    <x v="1"/>
    <s v="351100 Listing / Slotting / Visibility Fees"/>
    <s v="N/A"/>
    <x v="0"/>
    <m/>
    <m/>
    <m/>
    <m/>
    <m/>
    <m/>
  </r>
  <r>
    <s v="OK"/>
    <s v="Russia"/>
    <n v="1235"/>
    <s v="Trade information program in Key Account "/>
    <s v="Payment to retailers for information provided to consumers regarding JTI products, that supports visibility of product. Direct contracts with Key Accounts for Trade Information program"/>
    <s v="Retailer"/>
    <s v="502455 BTLTrade/MerchAllowShelfAllowDistributionMaintFee"/>
    <x v="1"/>
    <s v="351100 Listing / Slotting / Visibility Fees"/>
    <s v="N/A"/>
    <x v="0"/>
    <m/>
    <m/>
    <m/>
    <m/>
    <m/>
    <m/>
  </r>
  <r>
    <s v="OK"/>
    <s v="Russia"/>
    <n v="1235"/>
    <s v="Consumer information / Sales information"/>
    <s v="Agreements with retailers / key accounts on which they agree to provide us a set data of consumer and sales information."/>
    <s v="Retailer"/>
    <s v="502455 BTLTrade/MerchAllowShelfAllowDistributionMaintFee"/>
    <x v="1"/>
    <s v="351500 Sales/Marketing Information Systems"/>
    <s v="N/A"/>
    <x v="0"/>
    <m/>
    <m/>
    <m/>
    <m/>
    <m/>
    <m/>
  </r>
  <r>
    <s v="OK"/>
    <s v="Russia"/>
    <n v="1235"/>
    <s v="Fees paid to Key Accounts to allow SPIC to be in POSs."/>
    <s v="Fees paid to Key Accounts to allow JTI to provide shop information to customers (SPIC)"/>
    <s v="Retailer"/>
    <s v="502455 BTLTrade/MerchAllowShelfAllowDistributionMaintFee"/>
    <x v="1"/>
    <s v="351100 Listing / Slotting / Visibility Fees"/>
    <s v="N/A"/>
    <x v="0"/>
    <m/>
    <m/>
    <m/>
    <m/>
    <m/>
    <m/>
  </r>
  <r>
    <s v="OK"/>
    <s v="Russia"/>
    <n v="1235"/>
    <s v="Festivals / Events exclusivity"/>
    <s v="Agreements to sell exclusively JTI products in special events. JTI includes usually a cost related to exclusivity sales, to support the administrative/selling costs"/>
    <s v="Retailer"/>
    <s v="502455 BTLTrade/MerchAllowShelfAllowDistributionMaintFee"/>
    <x v="1"/>
    <s v="351100 Listing / Slotting / Visibility Fees"/>
    <s v="N/A"/>
    <x v="0"/>
    <m/>
    <m/>
    <m/>
    <m/>
    <m/>
    <m/>
  </r>
  <r>
    <s v="OK"/>
    <s v="Russia"/>
    <n v="1235"/>
    <s v="Money on mobile phones for consumers (cash payments portion) "/>
    <s v="Money on mobile phones is transferred by the Agency (JTI reimburses this cost)"/>
    <s v="End Consumer"/>
    <s v="502455 BTLTrade/MerchAllowShelfAllowDistributionMaintFee"/>
    <x v="1"/>
    <s v="351500 Sales/Marketing Information Systems"/>
    <s v="N/A"/>
    <x v="0"/>
    <m/>
    <m/>
    <m/>
    <m/>
    <m/>
    <m/>
  </r>
  <r>
    <s v="OK"/>
    <s v="Tajikistan"/>
    <n v="2154"/>
    <s v="Payment for goods availability"/>
    <s v="TAJIKISTAN: payment to trade for availability and listing of JTI products. Distributor makes payments to customers and then JTI compensates via discount in invoice price from JTI Kazakhstan "/>
    <s v="Retailer"/>
    <s v="313010 Discount adjustments account"/>
    <x v="2"/>
    <s v="351100 Listing / Slotting / Visibility Fees"/>
    <s v="N/A"/>
    <x v="0"/>
    <m/>
    <m/>
    <m/>
    <m/>
    <m/>
    <n v="0.1"/>
  </r>
  <r>
    <s v="OK"/>
    <s v="Tajikistan"/>
    <n v="2154"/>
    <s v="Trading reward "/>
    <s v="TAJIKISTAN: payment to trade for achievement of certain volume targets. Distributor makes payments to customers and then JTI compensates via discount in invoice price from JTI Kazakhstan "/>
    <s v="Wholesaler"/>
    <s v="313010 Discount adjustments account"/>
    <x v="2"/>
    <s v="341508 Distributor / Wholesaler / Freight allowances - Non-SD"/>
    <s v="Non-SD"/>
    <x v="2"/>
    <m/>
    <n v="0.17924562520161655"/>
    <n v="0"/>
    <n v="0.17924562520161655"/>
    <n v="0.17924562520161655"/>
    <n v="0.17924562520161655"/>
  </r>
  <r>
    <s v="OK"/>
    <s v="Tajikistan"/>
    <n v="2154"/>
    <s v="Distribution project realization reward"/>
    <s v="TAJIKISTAN: Compensation of costs for field force delivery cars purchase. To be compensated by JTI via reduction of JTI invoice price from JTI Kazakhstan"/>
    <s v="Distributor"/>
    <s v="313010 Discount adjustments account"/>
    <x v="2"/>
    <s v="341508 Distributor / Wholesaler / Freight allowances - Non-SD"/>
    <s v="Non-SD"/>
    <x v="2"/>
    <m/>
    <n v="0.15"/>
    <n v="0"/>
    <n v="0.15"/>
    <n v="0.15"/>
    <n v="0.15"/>
  </r>
  <r>
    <s v="OK"/>
    <s v="Tajikistan"/>
    <n v="2154"/>
    <s v="WFG/WFL"/>
    <s v="Tadjikistan: 100% gain or loss of JTI from price change generated on distributor side that later reconcile throught Trade Allowence "/>
    <s v="Distributor"/>
    <s v="308011 Trade Allowance booked outside SD"/>
    <x v="0"/>
    <s v="341508 Distributor / Wholesaler / Freight allowances - Non-SD"/>
    <s v="Non-SD"/>
    <x v="2"/>
    <m/>
    <n v="-0.21362289726454953"/>
    <n v="-0.21362289726454953"/>
    <n v="0"/>
    <n v="-0.21362289726454953"/>
    <n v="-0.21362289726454953"/>
  </r>
  <r>
    <s v="OK"/>
    <s v="Tajikistan"/>
    <n v="2154"/>
    <s v="WFG/WFL"/>
    <s v="Tadjikistan: 100% gain or loss of JTI from price change generated on distributor side that later reconcile throught Trade Allowence "/>
    <s v="Distributor"/>
    <s v="308011 Trade Allowance booked outside SD"/>
    <x v="0"/>
    <s v="341500 Distributor / Wholesaler / Freight allowances - SD"/>
    <s v="SD"/>
    <x v="2"/>
    <n v="-0.21362289726454953"/>
    <m/>
    <m/>
    <m/>
    <n v="-0.21362289726454953"/>
    <n v="-0.21362289726454953"/>
  </r>
  <r>
    <s v="OK"/>
    <s v="Tajikistan"/>
    <n v="2154"/>
    <s v="Track and Trace"/>
    <s v="Track and trace equipment installation in Tajikistan market at JTI costs"/>
    <s v="Distributor"/>
    <s v="313010 Discount adjustments account"/>
    <x v="2"/>
    <s v="341508 Distributor / Wholesaler / Freight allowances - Non-SD"/>
    <s v="Non-SD"/>
    <x v="2"/>
    <m/>
    <s v="$0.0"/>
    <n v="9.9999999999999995E-7"/>
    <n v="1E-8"/>
    <n v="0"/>
    <n v="0"/>
  </r>
  <r>
    <s v="OK"/>
    <s v="Mongolia"/>
    <n v="2154"/>
    <s v="Sales operations bonus"/>
    <s v="MONGOLIA: Annual bonus for Volume KPI achievement. Eventually paid to distributor via JTI invoice price adjustment from JTI Kazakhstan"/>
    <s v="Distributor"/>
    <s v="313010 Discount adjustments account"/>
    <x v="2"/>
    <s v="341500 Distributor / Wholesaler / Freight allowances - SD"/>
    <s v="SD"/>
    <x v="2"/>
    <n v="0.30008336995766827"/>
    <m/>
    <m/>
    <m/>
    <n v="0.30008336995766827"/>
    <n v="0.30008336995766827"/>
  </r>
  <r>
    <s v="OK"/>
    <s v="Mongolia"/>
    <n v="2154"/>
    <s v="Trading reward "/>
    <s v="MONGOLIA: payment to wholelsalers for achievement of certain volume targets. Distributor makes payments to customers and then JTI compensates via discount in invoice price from JTI Kazakhstan "/>
    <s v="Wholesaler"/>
    <s v="313010 Discount adjustments account"/>
    <x v="2"/>
    <s v="341508 Distributor / Wholesaler / Freight allowances - Non-SD"/>
    <s v="Non-SD"/>
    <x v="2"/>
    <m/>
    <n v="0.80446240288711868"/>
    <n v="0"/>
    <n v="0.80446240288711868"/>
    <n v="0.80446240288711868"/>
    <n v="0.80446240288711868"/>
  </r>
  <r>
    <s v="OK"/>
    <s v="Mongolia"/>
    <n v="2154"/>
    <s v="Trading reward "/>
    <s v="MONGOLIA: payment to retailers for achievement of certain volume targets. Distributor makes payments to customers and then JTI compensates via discount in invoice price from JTI Kazakhstan "/>
    <s v="Retailer"/>
    <s v="313010 Discount adjustments account"/>
    <x v="2"/>
    <s v="351400 Retail Allowances"/>
    <s v="N/A"/>
    <x v="0"/>
    <m/>
    <m/>
    <m/>
    <m/>
    <n v="0.41500119060560792"/>
    <n v="0.41500119060560792"/>
  </r>
  <r>
    <s v="OK"/>
    <s v="Mongolia"/>
    <n v="2154"/>
    <s v="WFG/WFL"/>
    <s v="Mongolia: 50% gain or loss of JTI from price change generated on distributor side that later reconcile throught Trade Allowence "/>
    <s v="Distributor"/>
    <s v="308011 Trade Allowance booked outside SD"/>
    <x v="0"/>
    <s v="341508 Distributor / Wholesaler / Freight allowances - Non-SD"/>
    <s v="Non-SD"/>
    <x v="2"/>
    <m/>
    <n v="0.46179000417473465"/>
    <n v="0.46179000417473465"/>
    <n v="0"/>
    <n v="0.46179000417473465"/>
    <n v="0.46179000417473465"/>
  </r>
  <r>
    <s v="OK"/>
    <s v="Kyrgyzstan"/>
    <n v="2154"/>
    <s v="Trading reward "/>
    <s v="KYRGYZSTAN: Volume push program aimed to drive volume increase in Retail and Wholesale universe. Given most part of participants of the program in quantity are from retail universe beneficiary in the next column is chosen as &quot;Retailers&quot;._x000a_Retailers and Wholesales receive sales plan upon fullfillment of which the remuneration is paid by Distrbutor in Kyrgyzstan. Then this payment done by distributor is compensated by JTI as a discount in invoice price from JTI Kazakhstan to distributor"/>
    <s v="Retailer"/>
    <s v="313010 Discount adjustments account"/>
    <x v="2"/>
    <s v="351400 Retail Allowances"/>
    <s v="N/A"/>
    <x v="0"/>
    <m/>
    <m/>
    <m/>
    <m/>
    <n v="0.7"/>
    <n v="0.7"/>
  </r>
  <r>
    <s v="OK"/>
    <s v="Kyrgyzstan"/>
    <n v="2154"/>
    <s v="Sales operations bonus"/>
    <s v="KYRGYZSTAN: Annual bonus for Volume KPI achievement. Eventually paid to distributor via JTI invoice price adjustment from JTI Kazahkstan"/>
    <s v="Distributor"/>
    <s v="313010 Discount adjustments account"/>
    <x v="2"/>
    <s v="341500 Distributor / Wholesaler / Freight allowances - SD"/>
    <s v="SD"/>
    <x v="2"/>
    <n v="0.32023289665211058"/>
    <m/>
    <m/>
    <m/>
    <n v="0.32023289665211058"/>
    <n v="0.32023289665211058"/>
  </r>
  <r>
    <s v="OK"/>
    <s v="Kyrgyzstan"/>
    <n v="2154"/>
    <s v="WFG/WFL"/>
    <s v="Kyrgyzstan: 100% gain or loss of JTI from price change generated on distributor side that later reconcile throught Trade Allowence "/>
    <s v="Distributor"/>
    <s v="308011 Trade Allowance booked outside SD"/>
    <x v="0"/>
    <s v="341508 Distributor / Wholesaler / Freight allowances - Non-SD"/>
    <s v="Non-SD"/>
    <x v="2"/>
    <m/>
    <n v="-1.0720852069540543"/>
    <n v="-1.0720852069540543"/>
    <n v="0"/>
    <n v="-1.0720852069540543"/>
    <n v="-1.0720852069540543"/>
  </r>
  <r>
    <s v="OK"/>
    <s v="Kyrgyzstan"/>
    <n v="2154"/>
    <s v="Listing fee"/>
    <s v="Horeca listing fee (RSP,Packs images in menu, magnetic inserts)"/>
    <s v="End Consumer"/>
    <s v="502455 BTLTrade/MerchAllowShelfAllowDistributionMaintFee"/>
    <x v="1"/>
    <s v="351100 Listing / Slotting / Visibility Fees"/>
    <s v="N/A"/>
    <x v="0"/>
    <m/>
    <m/>
    <m/>
    <m/>
    <m/>
    <m/>
  </r>
  <r>
    <s v="OK"/>
    <s v="Kyrgyzstan"/>
    <n v="2154"/>
    <s v="Listing fee"/>
    <s v="KA&amp;Horeca KG Key Account Listing fee (TE placement in KA, gas station)"/>
    <s v="End Consumer"/>
    <s v="502450 BTLTrade/MerchAllowShelfAllowShelfSpaceFee"/>
    <x v="1"/>
    <s v="351100 Listing / Slotting / Visibility Fees"/>
    <s v="N/A"/>
    <x v="0"/>
    <m/>
    <m/>
    <m/>
    <m/>
    <m/>
    <m/>
  </r>
  <r>
    <s v="OK"/>
    <s v="Kyrgyzstan"/>
    <n v="2114"/>
    <s v="Track and Trace"/>
    <s v="Track and Trace equipment installation"/>
    <s v="Distributor"/>
    <s v="313010 Discount adjustments account"/>
    <x v="2"/>
    <s v="341508 Distributor / Wholesaler / Freight allowances - Non-SD"/>
    <s v="N/A"/>
    <x v="2"/>
    <m/>
    <m/>
    <m/>
    <m/>
    <m/>
    <m/>
  </r>
  <r>
    <s v="OK"/>
    <s v="Kazakhstan"/>
    <n v="2154"/>
    <s v="Trade program for Wholesalers and Subsdistributors"/>
    <s v="KAZAKHSTAN: Wholesalers and Subdistributors have volume purchase plans based on which they receive remuneration fixed per mille in local currencyRegular volume target based program. Payment done directly to wholesalers and subdistributors by JTI"/>
    <s v="Wholesaler"/>
    <s v="308011 Trade Allowance booked outside SD"/>
    <x v="0"/>
    <s v="341508 Distributor / Wholesaler / Freight allowances - Non-SD"/>
    <s v="Non-SD"/>
    <x v="2"/>
    <m/>
    <n v="1.0388176714039128"/>
    <n v="1.0388176714039128"/>
    <n v="0"/>
    <n v="1.0388176714039128"/>
    <n v="1.0388176714039128"/>
  </r>
  <r>
    <s v="OK"/>
    <s v="Kazakhstan"/>
    <n v="2154"/>
    <s v="Trade program for indirect channel - volume push"/>
    <s v="KAZAKHSTAN: Non regular volume push target based program. Payment done directly to indirect channel customers by JTI._x000a_SKUs selected are different during the year depending on volume performance, Brand strategy and pricing strategy"/>
    <s v="Wholesaler"/>
    <s v="308011 Trade Allowance booked outside SD"/>
    <x v="0"/>
    <s v="341508 Distributor / Wholesaler / Freight allowances - Non-SD"/>
    <s v="Non-SD"/>
    <x v="2"/>
    <m/>
    <n v="0.2601365340866873"/>
    <n v="0"/>
    <n v="0.2601365340866873"/>
    <n v="0.2601365340866873"/>
    <n v="0.2601365340866873"/>
  </r>
  <r>
    <s v="OK"/>
    <s v="Kazakhstan"/>
    <n v="2154"/>
    <s v="Listing fee "/>
    <s v="Listing fee for bar Winston 365. This is special bar for consumers where our company holds events."/>
    <s v="Other"/>
    <s v="502455 BTLTrade/MerchAllowShelfAllowDistributionMaintFee"/>
    <x v="1"/>
    <s v="351100 Listing / Slotting / Visibility Fees"/>
    <s v="N/A"/>
    <x v="0"/>
    <m/>
    <m/>
    <m/>
    <m/>
    <m/>
    <m/>
  </r>
  <r>
    <s v="OK"/>
    <s v="Kazakhstan"/>
    <n v="2154"/>
    <s v="Agency fee"/>
    <s v="Dragau agency fee for telemarketing, DM, SMS delivery services "/>
    <s v="End Consumer"/>
    <s v="501605 BTLTradePromTradeDirAppeal PrgmsTradeIncentives"/>
    <x v="1"/>
    <m/>
    <m/>
    <x v="4"/>
    <m/>
    <m/>
    <m/>
    <m/>
    <m/>
    <m/>
  </r>
  <r>
    <s v="OK"/>
    <s v="Kazakhstan"/>
    <n v="2154"/>
    <s v="Trade promo"/>
    <s v="Trade Mktg KZ TLP (trade loyalty programm) postpayment . Sign listing contracts quarterly with POS till the end of the year. In case of achivement 4 conditions : 1) entry condition: presence of the SKU in the amount at least 3 packs 2) distribution : 100% presence  of JTI portfolio in POS any time 3)TE installation (full visibility) 4)illumination (on mode for 100% working hours) JTI make the postpayment to POS. Visa card on quarterly basis 96% of TLP contracts "/>
    <s v="Retailer"/>
    <s v="502250 BTLTrade/MerchAllowancesPOPMPlcmnt-Non-PermIndoor"/>
    <x v="1"/>
    <s v="351400 Retail Allowances"/>
    <s v="N/A"/>
    <x v="0"/>
    <m/>
    <m/>
    <m/>
    <m/>
    <m/>
    <m/>
  </r>
  <r>
    <s v="OK"/>
    <s v="Kazakhstan"/>
    <n v="2154"/>
    <s v="Trade promo"/>
    <s v="Trade Mktg KZ TLP (trade loyalty programm) Prepayment  . Sign listing contracts quarterly with POS till the end of year. In case of achivement 4 conditions : 1) entry condition: presence of the SKU in the amount at least 3 packs 2) distribution 3)TE installation (full visibility) 4)illumination (on mode for 100% working hours) JTI make the prepayment to POS. Visa card 3% of TLP contracts "/>
    <s v="Retailer"/>
    <s v="501605 BTLTradePromTradeDirAppeal PrgmsTradeIncentives"/>
    <x v="1"/>
    <s v="351400 Retail Allowances"/>
    <s v="N/A"/>
    <x v="0"/>
    <m/>
    <m/>
    <m/>
    <m/>
    <m/>
    <m/>
  </r>
  <r>
    <s v="OK"/>
    <s v="Kazakhstan"/>
    <n v="2154"/>
    <s v="Trade promo"/>
    <s v="Trade Mktg KZ TLP (trade loyalty programm) Bank account, include prepayment and postpayment. Sign listing contracts quarterly with POS till the end of year. In case of achivement 4 conditions : 1) entry condition: presence of the SKU in the amount at least 3 packs 2) distribution 3)TE installation (full visibility) 4)illumination (on mode for 100% working hours) JTI make the payment to POS. 1% of TLP contracts "/>
    <s v="Retailer"/>
    <s v="501605 BTLTradePromTradeDirAppeal PrgmsTradeIncentives"/>
    <x v="1"/>
    <s v="351400 Retail Allowances"/>
    <s v="N/A"/>
    <x v="0"/>
    <m/>
    <m/>
    <m/>
    <m/>
    <m/>
    <m/>
  </r>
  <r>
    <s v="OK"/>
    <s v="Kazakhstan"/>
    <n v="2154"/>
    <s v="Trade promo"/>
    <s v="Trade Mktg KZ TLP (trade loyalty programm) Bank account, include prepayment and postpayment. Sign listing contracts quarterly with POS till the end of year. In case of achivement 4 conditions : 1) entry condition: presence of the SKU in the amount at least 3 packs 2) distribution 3)TE installation (full visibility) 4)illumination (on mode for 100% working hours) JTI make the payment to POS. 1% of TLP contracts "/>
    <s v="Retailer"/>
    <s v="502200 BTLTrade/MerchAllowancesPOPMPlacement-PermIndoor"/>
    <x v="1"/>
    <s v="351400 Retail Allowances"/>
    <s v="N/A"/>
    <x v="0"/>
    <m/>
    <m/>
    <m/>
    <m/>
    <m/>
    <m/>
  </r>
  <r>
    <s v="OK"/>
    <s v="Kazakhstan"/>
    <n v="2154"/>
    <s v="Trade promo"/>
    <s v="Trade Mktg KZ TLP (trade loyalty programm) Bank account, include prepayment and postpayment. Sign listing contracts quarterly with POS till the end of year. In case of achivement 4 conditions : 1) entry condition: presence of the SKU in the amount at least 3 packs 2) distribution 3)TE installation (full visibility) 4)illumination (on mode for 100% working hours) JTI make the payment to POS. 1% of TLP contracts "/>
    <s v="Retailer"/>
    <s v="502250 BTLTrade/MerchAllowancesPOPMPlcmnt-Non-PermIndoor"/>
    <x v="1"/>
    <s v="351400 Retail Allowances"/>
    <s v="N/A"/>
    <x v="0"/>
    <m/>
    <m/>
    <m/>
    <m/>
    <m/>
    <m/>
  </r>
  <r>
    <s v="OK"/>
    <s v="Kazakhstan"/>
    <n v="2154"/>
    <s v="Trade promo"/>
    <s v="Trade Mktg KZ TLP (trade loyalty programm) Bank account, include prepayment and postpayment. Sign listing contracts quarterly with POS till the end of year. In case of achivement 4 conditions : 1) entry condition: presence of the SKU in the amount at least 3 packs 2) distribution 3)TE installation (full visibility) 4)illumination (on mode for 100% working hours) JTI make the payment to POS. 1% of TLP contracts "/>
    <s v="Retailer"/>
    <s v="502455 BTLTrade/MerchAllowShelfAllowDistributionMaintFee"/>
    <x v="1"/>
    <s v="351400 Retail Allowances"/>
    <s v="N/A"/>
    <x v="0"/>
    <m/>
    <m/>
    <m/>
    <m/>
    <m/>
    <m/>
  </r>
  <r>
    <s v="OK"/>
    <s v="Kazakhstan"/>
    <n v="2154"/>
    <s v="Trade promo"/>
    <s v="JTI Partner Bonuses KZ (Pay for perfomance program, in case the plan was achived TMR assigns awards to POS)"/>
    <s v="Retailer"/>
    <s v="501605 BTLTradePromTradeDirAppeal PrgmsTradeIncentives"/>
    <x v="1"/>
    <s v="351400 Retail Allowances"/>
    <s v="N/A"/>
    <x v="0"/>
    <m/>
    <m/>
    <m/>
    <m/>
    <m/>
    <m/>
  </r>
  <r>
    <s v="OK"/>
    <s v="Kazakhstan"/>
    <n v="2154"/>
    <s v="Horeca"/>
    <s v="Horeca KZ Horeca Listing Fee (RSP,Packs images in menu, magnetic inserts)"/>
    <s v="End Consumer"/>
    <s v="502455 BTLTrade/MerchAllowShelfAllowDistributionMaintFee"/>
    <x v="1"/>
    <s v="351100 Listing / Slotting / Visibility Fees"/>
    <s v="N/A"/>
    <x v="0"/>
    <m/>
    <m/>
    <m/>
    <m/>
    <m/>
    <m/>
  </r>
  <r>
    <s v="OK"/>
    <s v="Kazakhstan"/>
    <n v="2154"/>
    <s v="Modern trade"/>
    <s v="KA KZ Top Key Accounts Listing Fee (TE placement in hot zones)"/>
    <s v="Distributor"/>
    <s v="501605 BTLTradePromTradeDirAppeal PrgmsTradeIncentives"/>
    <x v="1"/>
    <s v="351100 Listing / Slotting / Visibility Fees"/>
    <s v="N/A"/>
    <x v="0"/>
    <m/>
    <m/>
    <m/>
    <m/>
    <m/>
    <m/>
  </r>
  <r>
    <s v="OK"/>
    <s v="Kazakhstan"/>
    <n v="2154"/>
    <s v="Modern trade"/>
    <s v="KA KZ Top Key Accounts Listing Fee (TE placement in hot zones)"/>
    <s v="Distributor"/>
    <s v="502450 BTLTrade/MerchAllowShelfAllowShelfSpaceFee"/>
    <x v="1"/>
    <s v="351100 Listing / Slotting / Visibility Fees"/>
    <s v="N/A"/>
    <x v="0"/>
    <m/>
    <m/>
    <m/>
    <m/>
    <m/>
    <m/>
  </r>
  <r>
    <s v="OK"/>
    <s v="Kazakhstan"/>
    <n v="2154"/>
    <s v="Modern trade"/>
    <s v="KA KZ Top Key Accounts Listing Fee (TE placement in hot zones)"/>
    <s v="Distributor"/>
    <s v="502455 BTLTrade/MerchAllowShelfAllowDistributionMaintFee"/>
    <x v="1"/>
    <s v="351100 Listing / Slotting / Visibility Fees"/>
    <s v="N/A"/>
    <x v="0"/>
    <m/>
    <m/>
    <m/>
    <m/>
    <m/>
    <m/>
  </r>
  <r>
    <s v="OK"/>
    <s v="Kazakhstan"/>
    <n v="2154"/>
    <s v="Modern trade"/>
    <s v="KA KZ Bonus for KA (pay for perfomance ) pay bonuse for KA in case of achivement of target"/>
    <s v="Retailer"/>
    <s v="501605 BTLTradePromTradeDirAppeal PrgmsTradeIncentives"/>
    <x v="1"/>
    <s v="351400 Retail Allowances"/>
    <s v="N/A"/>
    <x v="0"/>
    <m/>
    <m/>
    <m/>
    <m/>
    <m/>
    <m/>
  </r>
  <r>
    <s v="OK"/>
    <s v="Kazakhstan"/>
    <n v="2154"/>
    <s v="Modern trade"/>
    <s v="KA KZ Bonus for KA (pay for perfomance ) pay bonuse for KA in case of achivement of target"/>
    <s v="Retailer"/>
    <s v="502250 BTLTrade/MerchAllowancesPOPMPlcmnt-Non-PermIndoor"/>
    <x v="1"/>
    <s v="351400 Retail Allowances"/>
    <s v="N/A"/>
    <x v="0"/>
    <m/>
    <m/>
    <m/>
    <m/>
    <m/>
    <m/>
  </r>
  <r>
    <s v="OK"/>
    <s v="Kazakhstan"/>
    <n v="2154"/>
    <s v="Modern trade"/>
    <s v="KA KZ Bonus for KA (pay for perfomance ) pay bonuse for KA in case of achivement of target"/>
    <s v="Retailer"/>
    <s v="502455 BTLTrade/MerchAllowShelfAllowDistributionMaintFee"/>
    <x v="1"/>
    <s v="351400 Retail Allowances"/>
    <s v="N/A"/>
    <x v="0"/>
    <m/>
    <m/>
    <m/>
    <m/>
    <m/>
    <m/>
  </r>
  <r>
    <s v="OK"/>
    <s v="Kazakhstan"/>
    <n v="2154"/>
    <s v="Modern trade"/>
    <s v="KA KZ Other Key Accounts Listing Fee (pay for perfomance ) pay bonuse for other KA in case of achivement of target"/>
    <s v="Retailer"/>
    <s v="501605 BTLTradePromTradeDirAppeal PrgmsTradeIncentives"/>
    <x v="1"/>
    <s v="351100 Listing / Slotting / Visibility Fees"/>
    <s v="N/A"/>
    <x v="0"/>
    <m/>
    <m/>
    <m/>
    <m/>
    <m/>
    <m/>
  </r>
  <r>
    <s v="OK"/>
    <s v="Kazakhstan"/>
    <n v="2154"/>
    <s v="Modern trade"/>
    <s v="KA KZ Other Key Accounts Listing Fee (pay for perfomance ) pay bonuse for other KA in case of achivement of target"/>
    <s v="Retailer"/>
    <s v="502450 BTLTrade/MerchAllowShelfAllowShelfSpaceFee"/>
    <x v="1"/>
    <s v="351100 Listing / Slotting / Visibility Fees"/>
    <s v="N/A"/>
    <x v="0"/>
    <m/>
    <m/>
    <m/>
    <m/>
    <m/>
    <m/>
  </r>
  <r>
    <s v="OK"/>
    <s v="Kazakhstan"/>
    <n v="2155"/>
    <s v="Modern trade"/>
    <s v="KA KZ Other Key Accounts Listing Fee (pay for perfomance ) pay bonuse for other KA in case of achivement of target"/>
    <s v="Retailer"/>
    <s v="502455 BTLTrade/MerchAllowShelfAllowDistributionMaintFee"/>
    <x v="1"/>
    <s v="351100 Listing / Slotting / Visibility Fees"/>
    <s v="N/A"/>
    <x v="0"/>
    <m/>
    <m/>
    <m/>
    <m/>
    <m/>
    <m/>
  </r>
  <r>
    <s v="OK"/>
    <s v="Kazakhstan"/>
    <n v="2154"/>
    <s v="Trade promo"/>
    <s v="JTI Partner Bonuses KZ (Pay for perfomance program, in case the plan was achived TMR assigns awards to POS)"/>
    <s v="Retailer"/>
    <s v="501605 BTLTradePromTradeDirAppeal PrgmsTradeIncentives"/>
    <x v="1"/>
    <s v="351400 Retail Allowances"/>
    <s v="N/A"/>
    <x v="0"/>
    <m/>
    <m/>
    <m/>
    <m/>
    <m/>
    <m/>
  </r>
  <r>
    <s v="OK"/>
    <s v="Hungary"/>
    <n v="2322"/>
    <s v="Trade Allowance"/>
    <s v="Single centralized distributor (ODBE)  is receiving a fixed percentage (legislated) trade margin from tobacco companies. To limit their profitability ODBE is providing a year end REBATE to tobacco companies based on their contribution to ODBE financial performance. JTI is receiveing a yearly payback around 1 $MM."/>
    <s v="Other"/>
    <s v="308018 Trade Allowance Manual Adjustments"/>
    <x v="0"/>
    <s v="341508 Distributor / Wholesaler / Freight allowances - Non-SD"/>
    <s v="Non-SD"/>
    <x v="2"/>
    <m/>
    <n v="-1.099"/>
    <n v="-1.099"/>
    <n v="0"/>
    <n v="-1.099"/>
    <n v="-1.099"/>
  </r>
  <r>
    <s v="OK"/>
    <s v="Hungary"/>
    <n v="2322"/>
    <s v="Marketing Allowance"/>
    <s v="Visibility fee payed for retailers based on half year contracts for defined number facing places for tobacco products."/>
    <s v="Retailer"/>
    <s v="502450 BTLTrade/MerchAllowShelfAllowShelfSpaceFee"/>
    <x v="1"/>
    <s v="351100 Listing / Slotting / Visibility Fees"/>
    <s v="N/A"/>
    <x v="0"/>
    <m/>
    <m/>
    <m/>
    <m/>
    <m/>
    <m/>
  </r>
  <r>
    <s v="OK"/>
    <s v="Hungary"/>
    <n v="2322"/>
    <s v="Other Allowance"/>
    <s v="Year end bonus paid to limited number of retailers (on duty free area) based on multiple aspects but mainly turnover without providing a service."/>
    <s v="Retailer"/>
    <s v="313010 Discount adjustments account"/>
    <x v="2"/>
    <s v="351400 Retail Allowances"/>
    <s v="N/A"/>
    <x v="0"/>
    <m/>
    <m/>
    <m/>
    <m/>
    <m/>
    <n v="0.1"/>
  </r>
  <r>
    <s v="OK"/>
    <s v="Poland"/>
    <n v="2180"/>
    <s v="Distribution &amp; visibility &amp;communication building program: Merchandising Plus"/>
    <s v="_x000a_Communication and distribution of Key JTI SKU_x000a_"/>
    <s v="Retailer"/>
    <s v="502450 BTLTrade/MerchAllowShelfAllowShelfSpaceFee"/>
    <x v="1"/>
    <s v="351400 Retail Allowances"/>
    <s v="N/A"/>
    <x v="0"/>
    <m/>
    <m/>
    <m/>
    <m/>
    <m/>
    <m/>
  </r>
  <r>
    <s v="OK"/>
    <s v="Poland"/>
    <n v="2180"/>
    <s v="Distribution building program: Distribution Plus"/>
    <s v="_x000a_Distribution of Key JTI SKU_x000a_"/>
    <s v="Retailer"/>
    <s v="502450 BTLTrade/MerchAllowShelfAllowShelfSpaceFee"/>
    <x v="1"/>
    <s v="351400 Retail Allowances"/>
    <s v="N/A"/>
    <x v="0"/>
    <m/>
    <m/>
    <m/>
    <m/>
    <m/>
    <m/>
  </r>
  <r>
    <s v="OK"/>
    <s v="Poland"/>
    <n v="2180"/>
    <s v="Distribution &amp; visibility building program: RLP"/>
    <s v="Program dedicated for retailers. _x000a_Fixed renumeration for visibility, distribution and communication with placement of Permanent and semi-permanent POSM ."/>
    <s v="Retailer"/>
    <s v="502450 BTLTrade/MerchAllowShelfAllowShelfSpaceFee"/>
    <x v="1"/>
    <s v="351400 Retail Allowances"/>
    <s v="N/A"/>
    <x v="0"/>
    <m/>
    <m/>
    <m/>
    <m/>
    <m/>
    <m/>
  </r>
  <r>
    <s v="OK"/>
    <s v="Poland"/>
    <n v="2180"/>
    <s v="Listing/Visibility Fees"/>
    <s v="Contract with key accounts on which we agree to pay a fee in order to have a products placed on their shelves. The main purpose of the contracts is to increase number of SKUs and JTI volume, Contracts are annual or multi-year ageements."/>
    <s v="Retailer"/>
    <s v="502450 BTLTrade/MerchAllowShelfAllowShelfSpaceFee"/>
    <x v="1"/>
    <s v="351100 Listing / Slotting / Visibility Fees"/>
    <s v="N/A"/>
    <x v="0"/>
    <m/>
    <m/>
    <m/>
    <m/>
    <m/>
    <m/>
  </r>
  <r>
    <s v="OK"/>
    <s v="Poland"/>
    <n v="2180"/>
    <s v="Listing/Visibility Fees"/>
    <s v="HoReCa Contract"/>
    <s v="Retailer"/>
    <s v="502450 BTLTrade/MerchAllowShelfAllowShelfSpaceFee"/>
    <x v="1"/>
    <s v="351100 Listing / Slotting / Visibility Fees"/>
    <s v="N/A"/>
    <x v="0"/>
    <m/>
    <m/>
    <m/>
    <m/>
    <m/>
    <m/>
  </r>
  <r>
    <s v="OK"/>
    <s v="Poland"/>
    <n v="2180"/>
    <s v="Price discounts - Early Payment"/>
    <s v="A discount is given to the customer for early payment. The same discount is applied for every customer."/>
    <s v="Distributor"/>
    <s v="306010 Cash Discount"/>
    <x v="2"/>
    <s v="341208 Payment allowances - Non-SD"/>
    <s v="Non-SD"/>
    <x v="1"/>
    <m/>
    <n v="0.83447884070750755"/>
    <n v="0.83447884070750755"/>
    <n v="0.83447884070750755"/>
    <n v="0.83447884070750755"/>
    <n v="0.83447884070750755"/>
  </r>
  <r>
    <s v="OK"/>
    <s v="Poland"/>
    <n v="2180"/>
    <s v="Price discounts - Early Payment"/>
    <s v="A discount is given to the customer for early payment. The same discount is applied for every customer."/>
    <s v="Distributor"/>
    <s v="306010 Cash Discount"/>
    <x v="2"/>
    <s v="341200 Payment allowances - SD"/>
    <s v="SD"/>
    <x v="1"/>
    <n v="1.3"/>
    <m/>
    <m/>
    <m/>
    <n v="1.3"/>
    <n v="1.3"/>
  </r>
  <r>
    <s v="OK"/>
    <s v="Poland"/>
    <n v="2180"/>
    <s v="Price discounts - Customer Allowance"/>
    <s v="Distribution fee depending on order quantity (sell-in). Reward program based on fulfillment of certain conditions by wholesalers (sell out)"/>
    <s v="Distributor"/>
    <s v="308010 Trade Allowance"/>
    <x v="0"/>
    <s v="341500 Distributor / Wholesaler / Freight allowances - SD"/>
    <s v="SD"/>
    <x v="2"/>
    <n v="8.0326520977945179"/>
    <m/>
    <m/>
    <m/>
    <n v="8.0326520977945179"/>
    <n v="8.0326520977945179"/>
  </r>
  <r>
    <s v="OK"/>
    <s v="Poland"/>
    <n v="2180"/>
    <s v="Price discounts - Customer Allowance"/>
    <s v="Fixed discount per SKU @3.5 PLN/1000"/>
    <s v="Wholesaler"/>
    <s v="308010 Trade Allowance"/>
    <x v="0"/>
    <s v="341500 Distributor / Wholesaler / Freight allowances - SD"/>
    <s v="SD"/>
    <x v="2"/>
    <n v="0.25286233629853549"/>
    <m/>
    <m/>
    <m/>
    <n v="0.25286233629853549"/>
    <n v="0.25286233629853549"/>
  </r>
  <r>
    <s v="OK"/>
    <s v="Poland"/>
    <n v="2180"/>
    <s v="Distribution &amp; visibility building program -Sales Cycle Support"/>
    <s v="Program dedicated for retailers as Sales Cycle Support_x000a_For securing availability of targeted SKUs &amp; enhancing visibility retailer is rewarded. Additional communication/merchandisng POS may be required."/>
    <s v="Retailer"/>
    <s v="502450 BTLTrade/MerchAllowShelfAllowShelfSpaceFee"/>
    <x v="1"/>
    <s v="351400 Retail Allowances"/>
    <s v="N/A"/>
    <x v="0"/>
    <m/>
    <m/>
    <m/>
    <m/>
    <m/>
    <m/>
  </r>
  <r>
    <s v="OK"/>
    <s v="Poland"/>
    <n v="2180"/>
    <s v="Pay for performance"/>
    <s v="Program dedicated for retailers as Sales Cycle Support_x000a_POS receives volume target (selected JTI SKU) basing on daily sales data. If the target is achieved POS is rewarded."/>
    <s v="Retailer"/>
    <s v="502450 BTLTrade/MerchAllowShelfAllowShelfSpaceFee"/>
    <x v="1"/>
    <s v="351400 Retail Allowances"/>
    <s v="N/A"/>
    <x v="0"/>
    <m/>
    <m/>
    <m/>
    <m/>
    <m/>
    <m/>
  </r>
  <r>
    <s v="OK"/>
    <s v="United Kingdom"/>
    <n v="2101"/>
    <s v="Core PCP - SD"/>
    <s v="Discounts to direct customers as a price contibution. Core relates to all year round price contributions."/>
    <s v="End Consumer"/>
    <s v="310010 Consumer Allowance"/>
    <x v="0"/>
    <s v="341100 Consumer allowances - SD"/>
    <s v="SD"/>
    <x v="1"/>
    <n v="8.3843951448424292"/>
    <m/>
    <m/>
    <m/>
    <n v="8.3843951448424292"/>
    <n v="8.3843951448424292"/>
  </r>
  <r>
    <s v="OK"/>
    <s v="United Kingdom"/>
    <n v="2101"/>
    <s v="Core PCP - Manual"/>
    <s v="Manual postings related to price contribution discounts given to indirect customers or customers who won't accept PCP off sales invoice."/>
    <s v="End Consumer"/>
    <s v="307015 Distribution allowance"/>
    <x v="0"/>
    <s v="341108 Consumer allowances - Non-SD"/>
    <s v="Non-SD"/>
    <x v="1"/>
    <m/>
    <n v="8.3068906894833496"/>
    <n v="8.3068906894833496"/>
    <n v="8.3068906894833496"/>
    <n v="8.3068906894833496"/>
    <n v="8.3068906894833496"/>
  </r>
  <r>
    <s v="OK"/>
    <s v="United Kingdom"/>
    <n v="2101"/>
    <s v="Tactical PCP"/>
    <s v="This is temporary price allowance (eg, for a short period after a Budget or price increase). All tactical is done manually regardless of whether customer is idrect or indirect as it is based on EPOS (consumer sales) not caputed in SAP."/>
    <s v="End Consumer"/>
    <s v="308012 Tactical Promotional Payments"/>
    <x v="0"/>
    <s v="341108 Consumer allowances - Non-SD"/>
    <s v="Non-SD"/>
    <x v="1"/>
    <m/>
    <n v="22.253388281466499"/>
    <n v="22.253388281466499"/>
    <n v="22.253388281466499"/>
    <n v="22.253388281466499"/>
    <n v="22.253388281466499"/>
  </r>
  <r>
    <s v="OK"/>
    <s v="United Kingdom"/>
    <n v="2101"/>
    <s v="Trading agreements"/>
    <s v="Annual margin compensation - rate per KU Wholesalers (not linked to volume target or price)"/>
    <s v="Wholesaler"/>
    <s v="308011 Trade Allowance booked outside SD"/>
    <x v="0"/>
    <s v="341508 Distributor / Wholesaler / Freight allowances - Non-SD"/>
    <s v="Non-SD"/>
    <x v="2"/>
    <m/>
    <n v="5.81452608119658"/>
    <n v="0"/>
    <n v="0"/>
    <n v="5.81452608119658"/>
    <n v="5.81452608119658"/>
  </r>
  <r>
    <s v="OK"/>
    <s v="United Kingdom"/>
    <n v="2101"/>
    <s v="Trading agreements"/>
    <s v="Annual margin compensation - rate per KU Retailers (not linked to volume target or price)"/>
    <s v="Retailer"/>
    <s v="308011 Trade Allowance booked outside SD"/>
    <x v="0"/>
    <s v="351400 Retail Allowances"/>
    <s v="N/A"/>
    <x v="0"/>
    <m/>
    <m/>
    <m/>
    <m/>
    <m/>
    <m/>
  </r>
  <r>
    <s v="OK"/>
    <s v="United Kingdom"/>
    <n v="2101"/>
    <s v="Trading agreements"/>
    <s v="Amounts paid to retailers for availability/listing "/>
    <s v="Retailer"/>
    <s v="308011 Trade Allowance booked outside SD"/>
    <x v="0"/>
    <s v="351100 Listing / Slotting / Visibility Fees"/>
    <s v="N/A"/>
    <x v="0"/>
    <m/>
    <m/>
    <m/>
    <m/>
    <m/>
    <m/>
  </r>
  <r>
    <s v="OK"/>
    <s v="United Kingdom"/>
    <n v="2101"/>
    <s v="Trading agreements"/>
    <s v="Range and space and planograms"/>
    <s v="Retailer"/>
    <s v="308011 Trade Allowance booked outside SD"/>
    <x v="0"/>
    <s v="351100 Listing / Slotting / Visibility Fees"/>
    <s v="N/A"/>
    <x v="0"/>
    <m/>
    <m/>
    <m/>
    <m/>
    <m/>
    <m/>
  </r>
  <r>
    <s v="OK"/>
    <s v="United Kingdom"/>
    <n v="2101"/>
    <s v="Trading agreements"/>
    <s v="Gantry units"/>
    <s v="Retailer"/>
    <s v="308011 Trade Allowance booked outside SD"/>
    <x v="0"/>
    <s v="351200 Trade POPMs Placement Fees - PERMANENT"/>
    <s v="N/A"/>
    <x v="0"/>
    <m/>
    <m/>
    <m/>
    <m/>
    <m/>
    <m/>
  </r>
  <r>
    <s v="OK"/>
    <s v="United Kingdom"/>
    <n v="2101"/>
    <s v="Trading agreements"/>
    <s v="Sales and marketing information and data"/>
    <s v="Retailer"/>
    <s v="308011 Trade Allowance booked outside SD"/>
    <x v="0"/>
    <s v="351500 Sales/Marketing Information Systems"/>
    <s v="N/A"/>
    <x v="0"/>
    <m/>
    <m/>
    <m/>
    <m/>
    <m/>
    <m/>
  </r>
  <r>
    <s v="OK"/>
    <s v="United Kingdom"/>
    <n v="2101"/>
    <s v="Trading agreements"/>
    <s v="Maximum pricing based on volume x rate per unit"/>
    <s v="End Consumer"/>
    <s v="308011 Trade Allowance booked outside SD"/>
    <x v="0"/>
    <s v="341108 Consumer allowances - Non-SD"/>
    <s v="Non-SD"/>
    <x v="1"/>
    <m/>
    <n v="10.967363051648199"/>
    <n v="0"/>
    <n v="0"/>
    <n v="10.967363051648199"/>
    <n v="10.967363051648199"/>
  </r>
  <r>
    <s v="OK"/>
    <s v="United Kingdom"/>
    <n v="2101"/>
    <s v="Trading agreements"/>
    <s v="Trade reward cards - loyalty programs to indirect retailers"/>
    <s v="Retailer"/>
    <s v="308011 Trade Allowance booked outside SD"/>
    <x v="0"/>
    <s v="351400 Retail Allowances"/>
    <s v="N/A"/>
    <x v="0"/>
    <m/>
    <m/>
    <m/>
    <m/>
    <m/>
    <m/>
  </r>
  <r>
    <s v="OK"/>
    <s v="United Kingdom"/>
    <n v="2101"/>
    <s v="Swap Stock - Handling Fee"/>
    <s v="Handling allowance paid to wholesales who support our field salesforce by providing stock for them to either sell, giveawat or swap at independent retail outlets."/>
    <s v="Wholesaler"/>
    <s v="308030 Swap Stock Handling Allowance"/>
    <x v="0"/>
    <s v="341308 Sales/Returns allowances - Non-SD"/>
    <s v="Non-SD"/>
    <x v="3"/>
    <m/>
    <n v="0.128205128205128"/>
    <n v="0.128205128205128"/>
    <n v="0.128205128205128"/>
    <n v="0.128205128205128"/>
    <n v="0.128205128205128"/>
  </r>
  <r>
    <s v="OK"/>
    <s v="United Kingdom"/>
    <n v="2101"/>
    <s v="Swap Stock"/>
    <s v="Wholesaler is compensated at Q5 price list price for providing stock to give to independent retailers in exchange for damaged stock or to swap out new brands for old"/>
    <s v="Wholesaler"/>
    <s v="308031 Sales Allowance Manual Adj"/>
    <x v="0"/>
    <s v="341308 Sales/Returns allowances - Non-SD"/>
    <s v="Non-SD"/>
    <x v="3"/>
    <m/>
    <n v="0.76923076923076905"/>
    <n v="0.76923076923076905"/>
    <n v="0.76923076923076905"/>
    <n v="0.76923076923076905"/>
    <n v="0.76923076923076905"/>
  </r>
  <r>
    <s v="OK"/>
    <s v="United Kingdom"/>
    <n v="2101"/>
    <s v="Tactial Stock_Indirect"/>
    <s v="Wholesaler is compensated at Q5 price list price for providing stock to give to independent retailers in exchange for stock given out for free to retailers"/>
    <s v="Wholesaler"/>
    <s v="308040 Sales Allowance - Tactical"/>
    <x v="0"/>
    <s v="341408 TITP Allowances - Non-SD"/>
    <s v="Non-SD"/>
    <x v="3"/>
    <m/>
    <n v="0.28333333333333299"/>
    <n v="0.28333333333333299"/>
    <n v="0.28333333333333299"/>
    <n v="0.28333333333333299"/>
    <n v="0.28333333333333299"/>
  </r>
  <r>
    <s v="OK"/>
    <s v="United Kingdom"/>
    <n v="2101"/>
    <s v="Q7"/>
    <s v="Discount is applied to full trunker loads as part of invoiced amounts"/>
    <s v="Retailer"/>
    <s v="307010 Freight Allowance"/>
    <x v="0"/>
    <s v="341500 Distributor / Wholesaler / Freight allowances - SD"/>
    <s v="SD"/>
    <x v="2"/>
    <n v="0.128205128205128"/>
    <m/>
    <m/>
    <m/>
    <n v="0.128205128205128"/>
    <n v="0.128205128205128"/>
  </r>
  <r>
    <s v="OK"/>
    <s v="United Kingdom"/>
    <n v="2101"/>
    <s v="Q7"/>
    <s v="Discount is applied to full trunker loads as part of invoiced amounts"/>
    <s v="Wholesaler"/>
    <s v="307010 Freight Allowance"/>
    <x v="0"/>
    <s v="341500 Distributor / Wholesaler / Freight allowances - SD"/>
    <s v="SD"/>
    <x v="2"/>
    <n v="0.256410256410256"/>
    <m/>
    <m/>
    <m/>
    <n v="0.256410256410256"/>
    <n v="0.256410256410256"/>
  </r>
  <r>
    <s v="OK"/>
    <s v="United Kingdom"/>
    <n v="2101"/>
    <s v="Q7"/>
    <s v="Discounts relates to full trunker loads and is credited separately to sales invoice due to customer requirements"/>
    <s v="Retailer"/>
    <s v="307011 Freight Allowance Manual Adj"/>
    <x v="0"/>
    <s v="341508 Distributor / Wholesaler / Freight allowances - Non-SD"/>
    <s v="Non-SD"/>
    <x v="2"/>
    <m/>
    <n v="0.76923076923076905"/>
    <n v="0"/>
    <n v="0"/>
    <n v="0.76923076923076905"/>
    <n v="0.76923076923076905"/>
  </r>
  <r>
    <s v="OK"/>
    <s v="United Kingdom"/>
    <n v="2101"/>
    <s v="Q7"/>
    <s v="Discounts relates to full trunker loads and is credited separately to sales invoice due to customer requirements"/>
    <s v="Wholesaler"/>
    <s v="307011 Freight Allowance Manual Adj"/>
    <x v="0"/>
    <s v="341508 Distributor / Wholesaler / Freight allowances - Non-SD"/>
    <s v="Non-SD"/>
    <x v="2"/>
    <m/>
    <n v="0.1"/>
    <n v="0"/>
    <n v="0"/>
    <n v="0.1"/>
    <n v="0.1"/>
  </r>
  <r>
    <s v="OK"/>
    <s v="United Kingdom"/>
    <n v="2101"/>
    <s v="Brand Placement"/>
    <s v="Listing fees not included in trading agreements"/>
    <s v="Retailer"/>
    <s v="502570 BTLTradMerchAllowBusDvlGrowthIncentNewIntroListFee"/>
    <x v="1"/>
    <s v="351100 Listing / Slotting / Visibility Fees"/>
    <s v="N/A"/>
    <x v="0"/>
    <m/>
    <m/>
    <m/>
    <m/>
    <m/>
    <m/>
  </r>
  <r>
    <s v="OK"/>
    <s v="United Kingdom"/>
    <n v="2101"/>
    <s v="Tactical Promo Wholesaler"/>
    <s v="Compensation payment to wholesaler to provide retailer who is buying from them with a higher than usual margin"/>
    <s v="Wholesaler"/>
    <s v="308021 TITP allowance adjustment for CO-PA"/>
    <x v="0"/>
    <s v="351400 Retail Allowances"/>
    <s v="N/A"/>
    <x v="0"/>
    <m/>
    <m/>
    <m/>
    <m/>
    <m/>
    <n v="40.200000000000003"/>
  </r>
  <r>
    <s v="OK"/>
    <s v="Adriatica"/>
    <n v="1312"/>
    <s v="KPIs to Distributors in Serbia, Bosnia, Montenegro"/>
    <s v="Reimbursement to distributors on the set by agreement and achieved KPIs related to sales of JTI brands"/>
    <s v="Distributor"/>
    <s v="307015 Distribution allowance"/>
    <x v="0"/>
    <s v="341508 Distributor / Wholesaler / Freight allowances - Non-SD"/>
    <s v="Non-SD"/>
    <x v="2"/>
    <m/>
    <n v="2.2247191011235952"/>
    <n v="2.2247191011235952"/>
    <s v="n/A"/>
    <n v="2.2247191011235952"/>
    <n v="2.2247191011235952"/>
  </r>
  <r>
    <s v="OK"/>
    <s v="Adriatica"/>
    <n v="1312"/>
    <s v="Excise tax reimbursement to distributor in Bosnia"/>
    <s v="Reimbursement to distributor for the difference in excise tax at the moment of change of excise tax. Coveres difference in Excise on the inventory @ distributor warehouse and retailer's warehouses."/>
    <s v="Distributor"/>
    <s v="307015 Distribution allowance"/>
    <x v="0"/>
    <s v="341508 Distributor / Wholesaler / Freight allowances - Non-SD"/>
    <s v="Non-SD"/>
    <x v="2"/>
    <m/>
    <n v="0.12359550561797752"/>
    <n v="0.12359550561797752"/>
    <s v="n/A"/>
    <n v="0.12359550561797752"/>
    <n v="0.12359550561797752"/>
  </r>
  <r>
    <s v="OK"/>
    <s v="Adriatica"/>
    <n v="1312"/>
    <s v="Reimbursement to distributor for the change in RSP"/>
    <s v="Reimbursement to distributor for the change in RSP in cases when the prices are changed and distributor needs to compensate retail for sucha changes"/>
    <s v="Distributor"/>
    <s v="307015 Distribution allowance"/>
    <x v="0"/>
    <s v="341508 Distributor / Wholesaler / Freight allowances - Non-SD"/>
    <s v="Non-SD"/>
    <x v="2"/>
    <m/>
    <n v="1E-10"/>
    <n v="1E-10"/>
    <s v="n/A"/>
    <n v="1E-10"/>
    <n v="1E-10"/>
  </r>
  <r>
    <s v="OK"/>
    <s v="Adriatica"/>
    <n v="1799"/>
    <s v="Reimbursement to distributor for distruction of old stock"/>
    <s v="Reimbursement to distributor for distruction of old stock"/>
    <s v="Distributor"/>
    <s v="308018 Trade Allowance Manual Adjustments"/>
    <x v="0"/>
    <s v="341308 Sales/Returns allowances - Non-SD"/>
    <s v="Non-SD"/>
    <x v="3"/>
    <m/>
    <n v="1E-8"/>
    <n v="1E-8"/>
    <s v="n/A"/>
    <n v="1E-8"/>
    <n v="1E-8"/>
  </r>
  <r>
    <s v="OK"/>
    <s v="Adriatica"/>
    <n v="1799"/>
    <s v="KPIs to Distributors in Slovenia."/>
    <s v="Reimbursement to distributor on the set by agreement and achieved KPIs related to sales of JTI brands"/>
    <s v="Distributor"/>
    <s v="307015 Distribution allowance"/>
    <x v="0"/>
    <s v="341508 Distributor / Wholesaler / Freight allowances - Non-SD"/>
    <s v="Non-SD"/>
    <x v="2"/>
    <m/>
    <n v="0.17479438202247191"/>
    <n v="0.17479438202247191"/>
    <s v="n/A"/>
    <n v="0.17479438202247191"/>
    <n v="0.17479438202247191"/>
  </r>
  <r>
    <s v="OK"/>
    <s v="Adriatica"/>
    <n v="1312"/>
    <s v="Sales return of FG from distributor to JTI"/>
    <s v="Any kind of FG return from distributor to JTI"/>
    <s v="Distributor"/>
    <m/>
    <x v="3"/>
    <s v="Sales Returns"/>
    <m/>
    <x v="4"/>
    <m/>
    <m/>
    <m/>
    <m/>
    <m/>
    <m/>
  </r>
  <r>
    <s v="OK"/>
    <s v="Adriatica"/>
    <n v="1312"/>
    <s v="KA/RLP KPIs in Serbia and Montenegro"/>
    <s v="Reimbursement to KA (predominantly retailers) and RLP for the variable part of the KA/RLP fee based on the agreement"/>
    <s v="Retailer"/>
    <s v="308011 Trade Allowance booked outside SD"/>
    <x v="0"/>
    <s v="351400 Retail Allowances"/>
    <s v="N/A"/>
    <x v="0"/>
    <m/>
    <m/>
    <m/>
    <m/>
    <n v="1.5853936516853933"/>
    <n v="1.5853936516853933"/>
  </r>
  <r>
    <s v="OK"/>
    <s v="Adriatica"/>
    <n v="1407"/>
    <s v="HoReca, Small KA fees"/>
    <s v="Payment to HoReCa and small KA in Slovenia market for leesting fees"/>
    <s v="Other"/>
    <s v="502450 BTLTrade/MerchAllowShelfAllowShelfSpaceFee"/>
    <x v="1"/>
    <s v="351100 Listing / Slotting / Visibility Fees"/>
    <s v="N/A"/>
    <x v="0"/>
    <m/>
    <m/>
    <m/>
    <m/>
    <n v="0.29654102247191005"/>
    <n v="0.29654102247191005"/>
  </r>
  <r>
    <s v="OK"/>
    <s v="Adriatica"/>
    <n v="1312"/>
    <s v="Reimbursement to distributor for distruction of old stock"/>
    <s v="Reimbursement to distributor for distruction of old stock"/>
    <s v="Distributor"/>
    <s v="309010 Spoiled / Damaged Allowance"/>
    <x v="2"/>
    <s v="341308 Sales/Returns allowances - Non-SD"/>
    <s v="Non-SD"/>
    <x v="3"/>
    <m/>
    <n v="1E-8"/>
    <n v="1E-8"/>
    <s v="n/A"/>
    <n v="1E-8"/>
    <n v="1E-8"/>
  </r>
  <r>
    <s v="OK"/>
    <s v="Adriatica"/>
    <n v="1312"/>
    <s v="Bonus to distributor"/>
    <s v="Provision of overachievement bonuses to distributors or bonuses to distributor's employees for overachievment of sales KPIs."/>
    <s v="Distributor"/>
    <s v="308010 Trade Allowance"/>
    <x v="0"/>
    <s v="341508 Distributor / Wholesaler / Freight allowances - Non-SD"/>
    <s v="Non-SD"/>
    <x v="2"/>
    <m/>
    <n v="2.0211685393258429E-2"/>
    <n v="2.0211685393258429E-2"/>
    <s v="n/A"/>
    <n v="2.0211685393258429E-2"/>
    <n v="2.0211685393258429E-2"/>
  </r>
  <r>
    <s v="OK"/>
    <s v="Adriatica"/>
    <n v="1799"/>
    <s v="Bonus to distributor"/>
    <s v="Provision of overachievement bonuses to distributors or bonuses to distributor's employees for overachievment of sales KPIs."/>
    <s v="Distributor"/>
    <s v="307015 Distribution allowance"/>
    <x v="0"/>
    <s v="341508 Distributor / Wholesaler / Freight allowances - Non-SD"/>
    <s v="Non-SD"/>
    <x v="2"/>
    <m/>
    <n v="0.80756550561797746"/>
    <n v="0.80756550561797746"/>
    <s v="n/A"/>
    <n v="0.80756550561797746"/>
    <n v="0.80756550561797746"/>
  </r>
  <r>
    <s v="OK"/>
    <s v="Adriatica"/>
    <n v="1799"/>
    <s v="KA KPIs in Slovenia"/>
    <s v="Reimbursement to KA for the achieved variable part of the KA fee based on the agreement"/>
    <s v="Retailer"/>
    <s v="502450 BTLTrade/MerchAllowShelfAllowShelfSpaceFee"/>
    <x v="1"/>
    <s v="351400 Retail Allowances"/>
    <s v="N/A"/>
    <x v="0"/>
    <m/>
    <m/>
    <m/>
    <m/>
    <n v="0.12921348314606743"/>
    <n v="0.12921348314606743"/>
  </r>
  <r>
    <s v="OK"/>
    <s v="Adriatica"/>
    <n v="1799"/>
    <s v="KA fees/BTP in Slovenia"/>
    <s v="Payment to KA in Slovenia market for leesting fees and BTP programs"/>
    <s v="Retailer"/>
    <s v="502450 BTLTrade/MerchAllowShelfAllowShelfSpaceFee"/>
    <x v="1"/>
    <s v="351100 Listing / Slotting / Visibility Fees"/>
    <s v="N/A"/>
    <x v="0"/>
    <m/>
    <m/>
    <m/>
    <m/>
    <n v="3.0068308275547864"/>
    <n v="3.0068308275547864"/>
  </r>
  <r>
    <s v="OK"/>
    <s v="Adriatica"/>
    <n v="1312"/>
    <s v="BTP, SAIP, RIP programs"/>
    <s v="Reimbursement to distributor for execution of BTP and RIP programs"/>
    <s v="Distributor"/>
    <s v="502550 BTLTrade/MerchAllowBusDvlp/GrowthIncentVolGrowth"/>
    <x v="1"/>
    <s v="341508 Distributor / Wholesaler / Freight allowances - Non-SD"/>
    <s v="Non-SD"/>
    <x v="2"/>
    <m/>
    <n v="0.10195444899274159"/>
    <n v="0.10195444899274159"/>
    <s v="n/A"/>
    <n v="0.10195444899274159"/>
    <n v="0.10195444899274159"/>
  </r>
  <r>
    <s v="OK"/>
    <s v="Adriatica"/>
    <n v="1312"/>
    <s v="KA, RLP, HORECA fees "/>
    <s v="Fixed part of KA/RLP fees by agreement and overall HORECA fee"/>
    <s v="Other"/>
    <s v="502450 BTLTrade/MerchAllowShelfAllowShelfSpaceFee"/>
    <x v="1"/>
    <s v="351100 Listing / Slotting / Visibility Fees"/>
    <s v="N/A"/>
    <x v="0"/>
    <m/>
    <m/>
    <m/>
    <m/>
    <m/>
    <m/>
  </r>
  <r>
    <s v="OK"/>
    <s v="Adriatica"/>
    <n v="1312"/>
    <s v="BTP, SAIP, RIP programs"/>
    <s v="Payment for execution of BTP, RIP programs to KA, RLP, HoRECA"/>
    <s v="Other"/>
    <s v="502550 BTLTrade/MerchAllowBusDvlp/GrowthIncentVolGrowth"/>
    <x v="1"/>
    <s v="351400 Retail Allowances"/>
    <s v="N/A"/>
    <x v="0"/>
    <m/>
    <m/>
    <m/>
    <m/>
    <n v="0.46906269574557308"/>
    <n v="0.46906269574557308"/>
  </r>
  <r>
    <s v="OK"/>
    <s v="Adriatica"/>
    <n v="1312"/>
    <s v="Bonus to KA, RLP"/>
    <s v="Bonuses for overachievement of sales in KA or RLP"/>
    <s v="Other"/>
    <s v="308011 Trade Allowance booked outside SD"/>
    <x v="0"/>
    <s v="351400 Retail Allowances"/>
    <s v="N/A"/>
    <x v="0"/>
    <m/>
    <m/>
    <m/>
    <m/>
    <n v="1.0000000000000001E-5"/>
    <n v="1.0000000000000001E-5"/>
  </r>
  <r>
    <s v="OK"/>
    <s v="Czech"/>
    <n v="1169"/>
    <s v="Trade volume incentives"/>
    <s v="Incentive paid to wholesalers/retailers based on sales volumes achieved."/>
    <s v="Wholesaler"/>
    <s v="501605 BTLTradePromTradeDirAppeal PrgmsTradeIncentives"/>
    <x v="1"/>
    <s v="351400 Retail Allowances"/>
    <s v="N/A"/>
    <x v="0"/>
    <m/>
    <m/>
    <m/>
    <m/>
    <m/>
    <m/>
  </r>
  <r>
    <s v="OK"/>
    <s v="Czech"/>
    <n v="1169"/>
    <s v="Sales information fees"/>
    <s v="Incentive paid to wholesalers for providing sales data."/>
    <s v="Wholesaler"/>
    <s v="502010 BTLSalesInformationPurchasePOPDataPOPDataPurchas"/>
    <x v="1"/>
    <s v="351500 Sales/Marketing Information Systems"/>
    <s v="N/A"/>
    <x v="0"/>
    <m/>
    <m/>
    <m/>
    <m/>
    <m/>
    <m/>
  </r>
  <r>
    <s v="OK"/>
    <s v="Czech"/>
    <n v="1169"/>
    <s v="Visibility fees"/>
    <s v="Incentive paid to wholesalers/retailers related to listing fees for JTI products and also fees relating to increasing JTI prodict visibility."/>
    <s v="Wholesaler"/>
    <s v="502200 BTLTrade/MerchAllowancesPOPMPlacement-PermIndoor"/>
    <x v="1"/>
    <s v="351100 Listing / Slotting / Visibility Fees"/>
    <s v="N/A"/>
    <x v="0"/>
    <m/>
    <m/>
    <m/>
    <m/>
    <m/>
    <m/>
  </r>
  <r>
    <s v="OK"/>
    <s v="Czech"/>
    <n v="1169"/>
    <s v="Visibility fees"/>
    <s v="Incentive paid to wholesalers/retailers related to listing fees for JTI products and also fees relating to increasing JTI prodict visibility."/>
    <s v="Wholesaler"/>
    <s v="502250 BTLTrade/MerchAllowancesPOPMPlcmnt-Non-PermIndoor"/>
    <x v="1"/>
    <s v="351100 Listing / Slotting / Visibility Fees"/>
    <s v="N/A"/>
    <x v="0"/>
    <m/>
    <m/>
    <m/>
    <m/>
    <m/>
    <m/>
  </r>
  <r>
    <s v="OK"/>
    <s v="Czech"/>
    <n v="1169"/>
    <s v="Visibility fees"/>
    <s v="Incentive paid to wholesalers/retailers related to listing fees for JTI products and also fees relating to increasing JTI prodict visibility."/>
    <s v="Wholesaler"/>
    <s v="502450 BTLTrade/MerchAllowShelfAllowShelfSpaceFee"/>
    <x v="1"/>
    <s v="351100 Listing / Slotting / Visibility Fees"/>
    <s v="N/A"/>
    <x v="0"/>
    <m/>
    <m/>
    <m/>
    <m/>
    <m/>
    <m/>
  </r>
  <r>
    <s v="OK"/>
    <s v="Czech"/>
    <n v="1169"/>
    <s v="Availability fees"/>
    <s v="Incentive paid to wholesalers/retailers related to listing fees for JTI products and also fees relating to increasing JTI prodict visibility."/>
    <s v="Wholesaler"/>
    <s v="502455 BTLTrade/MerchAllowShelfAllowDistributionMaintFee"/>
    <x v="1"/>
    <s v="351100 Listing / Slotting / Visibility Fees"/>
    <s v="N/A"/>
    <x v="0"/>
    <m/>
    <m/>
    <m/>
    <m/>
    <m/>
    <m/>
  </r>
  <r>
    <s v="OK"/>
    <s v="Czech"/>
    <n v="1169"/>
    <s v="Horeca vending fees"/>
    <s v="Incentive paid to wholesalers/retailers related to listing fees for JTI products and also fees relating to increasing JTI prodict visibility."/>
    <s v="Retailer"/>
    <s v="502460 BTLTrade/MerchAllowShelfAllowVendingColListingFee"/>
    <x v="1"/>
    <s v="351100 Listing / Slotting / Visibility Fees"/>
    <s v="N/A"/>
    <x v="0"/>
    <m/>
    <m/>
    <m/>
    <m/>
    <m/>
    <m/>
  </r>
  <r>
    <s v="OK"/>
    <s v="Czech"/>
    <n v="1169"/>
    <s v="Gantry fees"/>
    <s v="Fees to independent retailers for placement of permanent POSM."/>
    <s v="Retailer"/>
    <s v="502510 BTLTrade/MerchAllowInStoreAllowBackwallsfee"/>
    <x v="1"/>
    <s v="351200 Trade POPMs Placement Fees - PERMANENT"/>
    <s v="N/A"/>
    <x v="0"/>
    <m/>
    <m/>
    <m/>
    <m/>
    <m/>
    <m/>
  </r>
  <r>
    <s v="OK"/>
    <s v="Czech"/>
    <n v="1169"/>
    <s v="Horeca exclusivity fees"/>
    <s v="Incentive paid to wholesalers/retailers related to listing fees for JTI products and also fees relating to increasing JTI prodict visibility."/>
    <s v="Retailer"/>
    <s v="502555 BTLTrade/MerchAllowBusDvlp/GrowthIncentDistrGains"/>
    <x v="1"/>
    <s v="351100 Listing / Slotting / Visibility Fees"/>
    <s v="N/A"/>
    <x v="0"/>
    <m/>
    <m/>
    <m/>
    <m/>
    <m/>
    <m/>
  </r>
  <r>
    <s v="OK"/>
    <s v="Czech"/>
    <n v="1169"/>
    <s v="Wholesaler volume discounts"/>
    <s v="Incentive paid to distributors for achieving volume target, posting is done through SRT, not through SD."/>
    <s v="Wholesaler"/>
    <s v="307016 Distribution commissions"/>
    <x v="0"/>
    <s v="341508 Distributor / Wholesaler / Freight allowances - Non-SD"/>
    <s v="Non-SD"/>
    <x v="2"/>
    <m/>
    <n v="2.2672300000000001"/>
    <n v="2.2672300000000001"/>
    <n v="0"/>
    <n v="2.2672300000000001"/>
    <n v="2.2672300000000001"/>
  </r>
  <r>
    <s v="OK"/>
    <s v="Czech"/>
    <n v="1169"/>
    <s v="KA volume discounts"/>
    <s v="Incentive paid to distributors for achieving volume target, posting is done through SRT, not through SD."/>
    <s v="Wholesaler"/>
    <s v="308011 Trade Allowance booked outside SD"/>
    <x v="0"/>
    <s v="341508 Distributor / Wholesaler / Freight allowances - Non-SD"/>
    <s v="Non-SD"/>
    <x v="2"/>
    <m/>
    <n v="2.3723200000000002"/>
    <n v="2.3723200000000002"/>
    <n v="0"/>
    <n v="2.3723200000000002"/>
    <n v="2.3723200000000002"/>
  </r>
  <r>
    <s v="OK"/>
    <s v="Czech"/>
    <n v="1169"/>
    <s v="Ad-hoc wholesaler volume incentives"/>
    <s v="Incentive paid to distributors for achieving volume target, posting is done through SRT, not through SD."/>
    <s v="Wholesaler"/>
    <s v="308018 Trade Allowance Manual Adjustments"/>
    <x v="0"/>
    <s v="341508 Distributor / Wholesaler / Freight allowances - Non-SD"/>
    <s v="Non-SD"/>
    <x v="2"/>
    <m/>
    <n v="0.76822000000000001"/>
    <n v="0.76822000000000001"/>
    <n v="0"/>
    <n v="0.76822000000000001"/>
    <n v="0.76822000000000001"/>
  </r>
  <r>
    <s v="OK"/>
    <s v="Czech"/>
    <n v="1169"/>
    <s v="Customer Bank Guarantees fees"/>
    <s v="Incentive paid to distributors for achieving volume target, posting is done through SRT, not through SD."/>
    <s v="Wholesaler"/>
    <s v="308070 Customer / Distributor Bank Fees"/>
    <x v="0"/>
    <s v="341508 Distributor / Wholesaler / Freight allowances - Non-SD"/>
    <s v="Non-SD"/>
    <x v="2"/>
    <m/>
    <n v="7.0000000000000007E-2"/>
    <n v="7.0000000000000007E-2"/>
    <n v="0"/>
    <n v="7.0000000000000007E-2"/>
    <n v="7.0000000000000007E-2"/>
  </r>
  <r>
    <s v="OK"/>
    <s v="Romania"/>
    <n v="1176"/>
    <s v="Distributors fees "/>
    <s v="Fees paid to Distributors for distribution activities. They are usually fixed amounts/mastercase (contractually agreed)."/>
    <s v="Distributor"/>
    <s v="307015 Distribution allowance"/>
    <x v="0"/>
    <s v="341508 Distributor / Wholesaler / Freight allowances - Non-SD"/>
    <s v="Non-SD"/>
    <x v="2"/>
    <m/>
    <n v="3.76"/>
    <n v="3.76"/>
    <n v="3.76"/>
    <m/>
    <m/>
  </r>
  <r>
    <s v="OK"/>
    <s v="Romania"/>
    <n v="1176"/>
    <s v="Wholesalers fees"/>
    <s v="Fees paid to Wholesalers based on volume increase (contractually agreed)."/>
    <s v="Wholesaler"/>
    <s v="307015 Distribution allowance"/>
    <x v="0"/>
    <s v="341508 Distributor / Wholesaler / Freight allowances - Non-SD"/>
    <s v="Non-SD"/>
    <x v="2"/>
    <m/>
    <n v="0.39"/>
    <n v="0.39"/>
    <n v="0.39"/>
    <m/>
    <m/>
  </r>
  <r>
    <s v="OK"/>
    <s v="Romania"/>
    <n v="1176"/>
    <s v="Key accounts fees"/>
    <s v="Fees paid to Key Accounts based on volume increase (contractually agreed)."/>
    <s v="Other"/>
    <s v="307015 Distribution allowance"/>
    <x v="0"/>
    <s v="341508 Distributor / Wholesaler / Freight allowances - Non-SD"/>
    <s v="Non-SD"/>
    <x v="2"/>
    <m/>
    <n v="0.76"/>
    <n v="0.76"/>
    <n v="0.76"/>
    <m/>
    <m/>
  </r>
  <r>
    <s v="OK"/>
    <s v="Romania"/>
    <n v="1176"/>
    <s v="Retail fees"/>
    <s v="Fees paid to Retailers based on volume increase (contractually agreed)."/>
    <s v="Retailer"/>
    <s v="307015 Distribution allowance"/>
    <x v="0"/>
    <s v="351400 Retail Allowances"/>
    <s v="N/A"/>
    <x v="0"/>
    <m/>
    <n v="0.56000000000000005"/>
    <n v="0.56000000000000005"/>
    <n v="0.56000000000000005"/>
    <m/>
    <n v="-0.4"/>
  </r>
  <r>
    <s v="OK"/>
    <s v="Romania"/>
    <n v="1176"/>
    <s v="Field force bonuses for adhoc programs related to volume target, stock optimization, credit collection etc)"/>
    <s v="Bonuses to field force ( either JTI Romania field force or distributor field force) for volume selling, stock optimization, credit collection etc.)"/>
    <s v="Distributor"/>
    <s v="307015 Distribution allowance"/>
    <x v="0"/>
    <s v="341508 Distributor / Wholesaler / Freight allowances - Non-SD"/>
    <s v="Non-SD"/>
    <x v="2"/>
    <m/>
    <n v="0.3"/>
    <n v="0.3"/>
    <n v="0.3"/>
    <m/>
    <m/>
  </r>
  <r>
    <s v="OK"/>
    <s v="Romania"/>
    <n v="1176"/>
    <s v="Ad-hoc programs, Non-SD"/>
    <s v="Ad-hoc programs related to  volume target for distributors, wholesalers or KA."/>
    <s v="Other"/>
    <s v="307015 Distribution allowance"/>
    <x v="0"/>
    <s v="341508 Distributor / Wholesaler / Freight allowances - Non-SD"/>
    <s v="Non-SD"/>
    <x v="2"/>
    <m/>
    <n v="0.18"/>
    <n v="0.18"/>
    <n v="0.18"/>
    <m/>
    <m/>
  </r>
  <r>
    <s v="OK"/>
    <s v="Romania"/>
    <n v="1176"/>
    <s v="Distributors discounts granted through SD module"/>
    <s v="Discounts paid to distributors- contractually agreed ( as percentages) or ad-hod programs flowing through SD module, depending on the volume target."/>
    <s v="Distributor"/>
    <s v="308010 Trade Allowance"/>
    <x v="0"/>
    <s v="341500 Distributor / Wholesaler / Freight allowances - SD"/>
    <s v="SD"/>
    <x v="2"/>
    <n v="3.25"/>
    <m/>
    <m/>
    <m/>
    <n v="3.25"/>
    <n v="3.25"/>
  </r>
  <r>
    <s v="OK"/>
    <s v="Romania"/>
    <n v="1176"/>
    <s v="Key Accounts discounts granted through SD module"/>
    <s v="Discounts paid to key accounts contractually agreed ( as percentages) or ad-hod programs flowing through SD module, depending on the volume target."/>
    <s v="Other"/>
    <s v="308010 Trade Allowance"/>
    <x v="0"/>
    <s v="341500 Distributor / Wholesaler / Freight allowances - SD"/>
    <s v="SD"/>
    <x v="2"/>
    <n v="4.04"/>
    <m/>
    <m/>
    <m/>
    <n v="4.04"/>
    <n v="4.04"/>
  </r>
  <r>
    <s v="OK"/>
    <s v="Romania"/>
    <n v="1176"/>
    <s v="Wholeselers discounts granted through SD module"/>
    <s v="Discounts paid to Wholesalers contractually agreed ( as percentages) or ad-hod programs flowing through SD module."/>
    <s v="Wholesaler"/>
    <s v="308010 Trade Allowance"/>
    <x v="0"/>
    <s v="341500 Distributor / Wholesaler / Freight allowances - SD"/>
    <s v="SD"/>
    <x v="2"/>
    <n v="0.85"/>
    <m/>
    <m/>
    <m/>
    <n v="0.85"/>
    <n v="0.85"/>
  </r>
  <r>
    <s v="OK"/>
    <s v="Romania"/>
    <n v="1176"/>
    <s v="Key Accounts  Fees"/>
    <s v="Remuneration paid to Key Accounts for purchasing JTI products from our warehouses."/>
    <s v="Other"/>
    <s v="310010 Consumer Allowance"/>
    <x v="0"/>
    <s v="341508 Distributor / Wholesaler / Freight allowances - Non-SD"/>
    <s v="Non-SD"/>
    <x v="2"/>
    <m/>
    <n v="0.19"/>
    <n v="0.19"/>
    <n v="0.19"/>
    <m/>
    <m/>
  </r>
  <r>
    <s v="OK"/>
    <s v="Romania"/>
    <n v="1176"/>
    <s v="Distributor Fees"/>
    <s v="Remuneration paid to Distributors to perform merchandising activities in their distribution process to customers."/>
    <s v="Distributor"/>
    <s v="310010 Consumer Allowance"/>
    <x v="0"/>
    <s v="341508 Distributor / Wholesaler / Freight allowances - Non-SD"/>
    <s v="Non-SD"/>
    <x v="2"/>
    <m/>
    <n v="2.84"/>
    <n v="2.84"/>
    <n v="2.84"/>
    <m/>
    <m/>
  </r>
  <r>
    <s v="OK"/>
    <s v="Romania"/>
    <n v="1176"/>
    <s v="Customer/Distributor bank fees"/>
    <s v="Bank guarantee fees paid by customers and after that issued to JTI."/>
    <s v="Distributor"/>
    <s v="308070 Customer / Distributor Bank Fees"/>
    <x v="0"/>
    <s v="341508 Distributor / Wholesaler / Freight allowances - Non-SD"/>
    <s v="Non-SD"/>
    <x v="2"/>
    <m/>
    <n v="0.06"/>
    <n v="0.06"/>
    <n v="0.06"/>
    <m/>
    <m/>
  </r>
  <r>
    <s v="OK"/>
    <s v="Romania"/>
    <n v="1176"/>
    <s v="Placement Fees Retailers"/>
    <s v="Fees paid to  Retailers to allow JTI to place POPM materials in the shops."/>
    <s v="Retailer"/>
    <s v="502510 BTLTrade/MerchAllowInStoreAllowBackwallsfee"/>
    <x v="1"/>
    <s v="351200 Trade POPMs Placement Fees - PERMANENT"/>
    <s v="N/A"/>
    <x v="0"/>
    <m/>
    <m/>
    <m/>
    <m/>
    <m/>
    <m/>
  </r>
  <r>
    <s v="OK"/>
    <s v="Romania"/>
    <n v="1176"/>
    <s v="Placement Fees Key Accounts &amp; Horeca"/>
    <s v="Fees paid to  Key accounts &amp; Horeca to allow JTI to place POPM materials in the shops."/>
    <s v="Other"/>
    <s v="502510 BTLTrade/MerchAllowInStoreAllowBackwallsfee"/>
    <x v="1"/>
    <s v="351200 Trade POPMs Placement Fees - PERMANENT"/>
    <s v="N/A"/>
    <x v="0"/>
    <m/>
    <m/>
    <m/>
    <m/>
    <m/>
    <m/>
  </r>
  <r>
    <s v="OK"/>
    <s v="Romania"/>
    <n v="1176"/>
    <s v="Visibility Fees"/>
    <s v="Contracts with Retailers on which we agree to pay a fee in order to have products placed on their shelves. "/>
    <s v="Retailer"/>
    <s v="502500 BTLTrade/MerchAllowInStoreAllowDispl/POPMLocatnFee"/>
    <x v="1"/>
    <s v="351100 Listing / Slotting / Visibility Fees"/>
    <s v="N/A"/>
    <x v="0"/>
    <m/>
    <m/>
    <m/>
    <m/>
    <m/>
    <m/>
  </r>
  <r>
    <s v="OK"/>
    <s v="Romania"/>
    <n v="1176"/>
    <s v="Visibility Fees"/>
    <s v="Contracts with Key accounts &amp; Horeca on which we agree to pay a fee in order to have products placed on their shelves. "/>
    <s v="Other"/>
    <s v="502500 BTLTrade/MerchAllowInStoreAllowDispl/POPMLocatnFee"/>
    <x v="1"/>
    <s v="351100 Listing / Slotting / Visibility Fees"/>
    <s v="N/A"/>
    <x v="0"/>
    <m/>
    <m/>
    <m/>
    <m/>
    <m/>
    <m/>
  </r>
  <r>
    <s v="OK"/>
    <s v="Romania"/>
    <n v="1176"/>
    <s v="Information regarding sales"/>
    <s v="Payments to Key accounts for information provided to us with sales / inventory data."/>
    <s v="Other"/>
    <s v="502500 BTLTrade/MerchAllowInStoreAllowDispl/POPMLocatnFee"/>
    <x v="1"/>
    <s v="351500 Sales/Marketing Information Systems"/>
    <s v="N/A"/>
    <x v="0"/>
    <m/>
    <m/>
    <m/>
    <m/>
    <m/>
    <m/>
  </r>
  <r>
    <s v="OK"/>
    <s v="Romania"/>
    <n v="1176"/>
    <s v="Trading reward programs"/>
    <s v="Discounts for trade programs given to Retailers depending on the volume target."/>
    <s v="Retailer"/>
    <s v="502500 BTLTrade/MerchAllowInStoreAllowDispl/POPMLocatnFee"/>
    <x v="1"/>
    <s v="351400 Retail Allowances"/>
    <s v="N/A"/>
    <x v="0"/>
    <m/>
    <m/>
    <m/>
    <m/>
    <m/>
    <m/>
  </r>
  <r>
    <s v="OK"/>
    <s v="Romania"/>
    <n v="1176"/>
    <s v="Trading reward programs"/>
    <s v="Discounts for trade programs given to Key Accounts &amp; Horeca depending on the volume target."/>
    <s v="Other"/>
    <s v="502500 BTLTrade/MerchAllowInStoreAllowDispl/POPMLocatnFee"/>
    <x v="1"/>
    <s v="351400 Retail Allowances"/>
    <s v="N/A"/>
    <x v="0"/>
    <m/>
    <m/>
    <m/>
    <m/>
    <m/>
    <m/>
  </r>
  <r>
    <s v="OK"/>
    <s v="Romania"/>
    <n v="1176"/>
    <s v="Trading reward programs"/>
    <s v="Cash rewards to shop assistents to promote JTI products to consumers."/>
    <s v="Retailer"/>
    <s v="501605 BTLTradePromTradeDirAppeal PrgmsTradeIncentives"/>
    <x v="1"/>
    <s v="351100 Listing / Slotting / Visibility Fees"/>
    <s v="N/A"/>
    <x v="0"/>
    <m/>
    <m/>
    <m/>
    <m/>
    <m/>
    <m/>
  </r>
  <r>
    <s v="OK"/>
    <s v="Romania"/>
    <n v="1176"/>
    <s v="Trading reward programs"/>
    <s v="Discounts for trade programs given to Retailers based on volume target."/>
    <s v="Retailer"/>
    <s v="501605 BTLTradePromTradeDirAppeal PrgmsTradeIncentives"/>
    <x v="1"/>
    <s v="351400 Retail Allowances"/>
    <s v="N/A"/>
    <x v="0"/>
    <m/>
    <m/>
    <m/>
    <m/>
    <m/>
    <m/>
  </r>
  <r>
    <s v="OK"/>
    <s v="Romania"/>
    <n v="1176"/>
    <s v="Distributor Fees"/>
    <s v="Remuneration paid to Distributors through AP invoices for distribution services."/>
    <s v="Distributor"/>
    <s v="501605 BTLTradePromTradeDirAppeal PrgmsTradeIncentives"/>
    <x v="1"/>
    <s v="341508 Distributor / Wholesaler / Freight allowances - Non-SD"/>
    <s v="Non-SD"/>
    <x v="2"/>
    <m/>
    <m/>
    <m/>
    <m/>
    <m/>
    <m/>
  </r>
  <r>
    <s v="OK"/>
    <s v="Romania"/>
    <n v="1176"/>
    <s v="Trading reward programs"/>
    <s v="Discounts for trade programs given to Retailers based on volume target."/>
    <s v="Retailer"/>
    <s v="502570 BTLTradMerchAllowBusDvlGrowthIncentNewIntroListFee"/>
    <x v="1"/>
    <s v="351400 Retail Allowances"/>
    <s v="N/A"/>
    <x v="0"/>
    <m/>
    <m/>
    <m/>
    <m/>
    <m/>
    <m/>
  </r>
  <r>
    <s v="OK"/>
    <s v="Sweden+"/>
    <n v="2300"/>
    <s v="Marketing Allowances"/>
    <s v="Loyalty Program Compliance (RMC)"/>
    <s v="Retailer"/>
    <s v="502500 BTLTrade/MerchAllowInStoreAllowDispl/POPMLocatnFee"/>
    <x v="1"/>
    <s v="351100 Listing / Slotting / Visibility Fees"/>
    <s v="N/A"/>
    <x v="0"/>
    <m/>
    <m/>
    <m/>
    <m/>
    <m/>
    <m/>
  </r>
  <r>
    <s v="OK"/>
    <s v="Sweden+"/>
    <n v="2300"/>
    <s v="Marketing Allowances"/>
    <s v="Loyalty Program SNUS - Visibility Buy Cooler Space"/>
    <s v="Retailer"/>
    <s v="502570 BTLTradMerchAllowBusDvlGrowthIncentNewIntroListFee"/>
    <x v="1"/>
    <s v="351100 Listing / Slotting / Visibility Fees"/>
    <s v="N/A"/>
    <x v="0"/>
    <m/>
    <m/>
    <m/>
    <m/>
    <m/>
    <m/>
  </r>
  <r>
    <s v="OK"/>
    <s v="Sweden+"/>
    <n v="2300"/>
    <s v="Marketing Allowances"/>
    <s v="Seasonal Outlets and Festival Activities RMC &amp; SNUS"/>
    <s v="Retailer"/>
    <s v="502570 BTLTradMerchAllowBusDvlGrowthIncentNewIntroListFee"/>
    <x v="1"/>
    <s v="351100 Listing / Slotting / Visibility Fees"/>
    <s v="N/A"/>
    <x v="0"/>
    <m/>
    <m/>
    <m/>
    <m/>
    <m/>
    <m/>
  </r>
  <r>
    <s v="OK"/>
    <s v="Sweden+"/>
    <n v="2300"/>
    <s v="Marketing Allowances"/>
    <s v="Key Account - Secondary Partnerships / Category Manager."/>
    <s v="Retailer"/>
    <s v="502455 BTLTrade/MerchAllowShelfAllowDistributionMaintFee"/>
    <x v="1"/>
    <s v="351100 Listing / Slotting / Visibility Fees"/>
    <s v="N/A"/>
    <x v="0"/>
    <m/>
    <m/>
    <m/>
    <m/>
    <m/>
    <m/>
  </r>
  <r>
    <s v="OK"/>
    <s v="Sweden+"/>
    <n v="2300"/>
    <s v="Marketing Allowances"/>
    <s v="Key Account - Compliance bonus / Performance Payment"/>
    <s v="Retailer"/>
    <s v="502450 BTLTrade/MerchAllowShelfAllowShelfSpaceFee"/>
    <x v="1"/>
    <s v="351400 Retail Allowances"/>
    <s v="N/A"/>
    <x v="0"/>
    <m/>
    <m/>
    <m/>
    <m/>
    <m/>
    <m/>
  </r>
  <r>
    <s v="OK"/>
    <s v="Sweden+"/>
    <n v="2300"/>
    <s v="Marketing Allowances"/>
    <s v="Key Account - Campaigns "/>
    <s v="Retailer"/>
    <s v="502455 BTLTrade/MerchAllowShelfAllowDistributionMaintFee"/>
    <x v="1"/>
    <s v="351300 Trade POPMs Placement Fees - TEMPORARY"/>
    <s v="N/A"/>
    <x v="0"/>
    <m/>
    <m/>
    <m/>
    <m/>
    <m/>
    <m/>
  </r>
  <r>
    <s v="OK"/>
    <s v="Sweden+"/>
    <n v="2300"/>
    <s v="Marketing Allowances"/>
    <s v="Horeca (Pay to Play) "/>
    <s v="Retailer"/>
    <s v="502465 BTLTrade/MerchAllowShelfAllowVendingvisibilityfee"/>
    <x v="1"/>
    <s v="351100 Listing / Slotting / Visibility Fees"/>
    <s v="N/A"/>
    <x v="0"/>
    <m/>
    <m/>
    <m/>
    <m/>
    <m/>
    <m/>
  </r>
  <r>
    <s v="OK"/>
    <s v="Sweden+"/>
    <n v="2300"/>
    <s v="Marketing Allowances"/>
    <s v="E-commerce SNUS - fee to Snusbolaget.se"/>
    <s v="Retailer"/>
    <s v="502500 BTLTrade/MerchAllowInStoreAllowDispl/POPMLocatnFee"/>
    <x v="1"/>
    <s v="351100 Listing / Slotting / Visibility Fees"/>
    <s v="N/A"/>
    <x v="0"/>
    <m/>
    <m/>
    <m/>
    <m/>
    <m/>
    <m/>
  </r>
  <r>
    <s v="OK"/>
    <s v="Sweden+"/>
    <n v="2300"/>
    <s v="Marketing Allowances"/>
    <s v="E-commerce SNUS - Snusbolaget.se campaignes"/>
    <s v="Retailer"/>
    <s v="502560 BTLTrade/MerchAllowBusDvlp/GrowthIncentActivitFreq"/>
    <x v="1"/>
    <s v="341108 Consumer allowances - Non-SD"/>
    <s v="Non-SD"/>
    <x v="1"/>
    <m/>
    <n v="0.26200000000000001"/>
    <n v="0.26200000000000001"/>
    <n v="0.26200000000000001"/>
    <m/>
    <m/>
  </r>
  <r>
    <s v="OK"/>
    <s v="Sweden+"/>
    <n v="2300"/>
    <s v="Marketing Allowances"/>
    <s v="Field Sales - Regional Micro Programms &amp; Pay to Play Committed coolers"/>
    <s v="Retailer"/>
    <s v="502570 BTLTradMerchAllowBusDvlGrowthIncentNewIntroListFee"/>
    <x v="1"/>
    <s v="341408 TITP Allowances - Non-SD"/>
    <s v="Non-SD"/>
    <x v="3"/>
    <m/>
    <n v="0.7"/>
    <n v="0.7"/>
    <n v="0.7"/>
    <m/>
    <m/>
  </r>
  <r>
    <s v="OK"/>
    <s v="Sweden+"/>
    <n v="2300"/>
    <s v="Trade Allowances"/>
    <s v="Discount agreements with Trade for RMC/OTH/SNUS. Credit note sent to Distributor based on IMS volumes 1st of every month. KA Reitan and Axfood invoicing us directly monthly. "/>
    <s v="Retailer"/>
    <s v="308010 Trade Allowance"/>
    <x v="0"/>
    <s v="351400 Retail Allowances"/>
    <s v="N/A"/>
    <x v="0"/>
    <m/>
    <m/>
    <m/>
    <m/>
    <m/>
    <m/>
  </r>
  <r>
    <s v="OK"/>
    <s v="Sweden+"/>
    <n v="2300"/>
    <s v="Trade Allowances"/>
    <s v="Discounts on SNUS with aim to effect Trades RSP to end consumer."/>
    <s v="Retailer"/>
    <s v="308010 Trade Allowance"/>
    <x v="0"/>
    <s v="341100 Consumer allowances - SD"/>
    <s v="SD"/>
    <x v="1"/>
    <n v="2.4"/>
    <m/>
    <n v="2.4"/>
    <n v="2.4"/>
    <m/>
    <m/>
  </r>
  <r>
    <s v="OK"/>
    <s v="Sweden+"/>
    <n v="1799"/>
    <s v="Marketing Allowances"/>
    <s v="Performances bonus based on volumes given to Distributor (Conrad Langaard) on a monthly basis"/>
    <s v="Distributor"/>
    <s v="502455 BTLTrade/MerchAllowShelfAllowDistributionMaintFee"/>
    <x v="1"/>
    <s v="341508 Distributor / Wholesaler / Freight allowances - Non-SD"/>
    <s v="Non-SD"/>
    <x v="2"/>
    <m/>
    <n v="0.06"/>
    <n v="0.06"/>
    <n v="0.06"/>
    <m/>
    <m/>
  </r>
  <r>
    <s v="OK"/>
    <s v="Sweden+"/>
    <n v="1799"/>
    <s v="Marketing Allowances"/>
    <s v="Joint marketing / Listing fees at KAs and buying groups"/>
    <s v="Retailer"/>
    <s v="502455 BTLTrade/MerchAllowShelfAllowDistributionMaintFee"/>
    <x v="1"/>
    <s v="351100 Listing / Slotting / Visibility Fees"/>
    <s v="N/A"/>
    <x v="0"/>
    <m/>
    <m/>
    <m/>
    <m/>
    <m/>
    <m/>
  </r>
  <r>
    <s v="OK"/>
    <s v="Sweden+"/>
    <n v="1799"/>
    <s v="Trade Allowances"/>
    <s v="Discounts given to Reitan, Norgesgruppen and REMA 1000 to keep shelf space and listings, paid through Distriubutor"/>
    <s v="Retailer"/>
    <s v="308018 Trade Allowance Manual Adjustments"/>
    <x v="0"/>
    <s v="351400 Retail Allowances"/>
    <s v="N/A"/>
    <x v="0"/>
    <m/>
    <m/>
    <m/>
    <m/>
    <m/>
    <m/>
  </r>
  <r>
    <s v="OK"/>
    <s v="Tanzania"/>
    <n v="1199"/>
    <s v="Trade discount"/>
    <s v="It is a percentage deduction on price. The rate vary from one dealer to another depending on the condition (e.g. Dealer collect the product at TCC premises, distribution coverage etc.) of every dealer. The rate is set on the system (i.e. Customer master data)."/>
    <s v="Wholesaler"/>
    <s v="308010 Trade Allowance"/>
    <x v="0"/>
    <s v="341500 Distributor / Wholesaler / Freight allowances - SD"/>
    <s v="SD"/>
    <x v="2"/>
    <n v="0.39539334828862888"/>
    <m/>
    <m/>
    <m/>
    <m/>
    <m/>
  </r>
  <r>
    <s v="OK"/>
    <s v="Tanzania"/>
    <n v="1199"/>
    <s v="Trade discount"/>
    <s v="It is a percentage deduction on price. The rate is uniform to all Distributors except one who has additional 1% due to distribution coverage. The rate is set on the system (i.e. Customer master data)."/>
    <s v="Distributor"/>
    <s v="308010 Trade Allowance"/>
    <x v="0"/>
    <s v="341500 Distributor / Wholesaler / Freight allowances - SD"/>
    <s v="SD"/>
    <x v="2"/>
    <n v="1.3"/>
    <m/>
    <m/>
    <m/>
    <m/>
    <m/>
  </r>
  <r>
    <s v="OK"/>
    <s v="Tanzania"/>
    <n v="1199"/>
    <s v="Quarterly Target Incentive"/>
    <s v="Incentives given to distributors after achieving agreed quarterly target "/>
    <s v="Distributor"/>
    <s v="501605 BTLTradePromTradeDirAppeal PrgmsTradeIncentives"/>
    <x v="1"/>
    <s v="341508 Distributor / Wholesaler / Freight allowances - Non-SD"/>
    <s v="Non-SD"/>
    <x v="2"/>
    <m/>
    <n v="0.24989582999999996"/>
    <n v="0.24989582999999996"/>
    <n v="0.24989582999999996"/>
    <m/>
    <m/>
  </r>
  <r>
    <s v="OK"/>
    <s v="Tanzania"/>
    <n v="1199"/>
    <s v="Dealer Incentive programms"/>
    <s v="Incentives given to dealers after achieving agreed target. It can be on Monthly, quarterly or half year target or at a certain promotion period"/>
    <s v="Wholesaler"/>
    <s v="501605 BTLTradePromTradeDirAppeal PrgmsTradeIncentives"/>
    <x v="1"/>
    <s v="341508 Distributor / Wholesaler / Freight allowances - Non-SD"/>
    <s v="Non-SD"/>
    <x v="2"/>
    <m/>
    <n v="0.4"/>
    <n v="0.4"/>
    <n v="0.4"/>
    <m/>
    <m/>
  </r>
  <r>
    <s v="OK"/>
    <s v="Tanzania"/>
    <n v="1199"/>
    <s v="Rebate"/>
    <s v="Rebate given to dealers who met a certain agreed conditions (e.g. buy a certain level of quantity on one order for a certain brands). The rebate is given in form of credit note."/>
    <s v="Wholesaler"/>
    <s v="307015 Distribution allowance"/>
    <x v="0"/>
    <s v="341500 Distributor / Wholesaler / Freight allowances - SD"/>
    <s v="SD"/>
    <x v="2"/>
    <m/>
    <n v="0.39539334828862888"/>
    <n v="0.39539334828862888"/>
    <n v="0.39539334828862888"/>
    <m/>
    <m/>
  </r>
  <r>
    <s v="OK"/>
    <s v="Tanzania"/>
    <n v="1199"/>
    <s v="Rebate"/>
    <s v="Rebate given to Distributors who met a certain agreed conditions (e.g. buy a certain level of quantity on one order for a certain brands). The rebate is given in form of credit note."/>
    <s v="Distributor"/>
    <s v="307015 Distribution allowance"/>
    <x v="0"/>
    <s v="341500 Distributor / Wholesaler / Freight allowances - SD"/>
    <s v="SD"/>
    <x v="2"/>
    <m/>
    <n v="1.186060561996531"/>
    <n v="1.186060561996531"/>
    <n v="1.186060561996531"/>
    <m/>
    <m/>
  </r>
  <r>
    <s v="OK"/>
    <s v="Tanzania"/>
    <n v="1199"/>
    <s v="Free Goods"/>
    <s v="Free product reward against target purchase achieved by wholesalers"/>
    <s v="Wholesaler"/>
    <s v="501605 BTLTradePromTradeDirAppeal PrgmsTradeIncentives"/>
    <x v="1"/>
    <s v="341408 TITP Allowances - Non-SD"/>
    <s v="Non-SD"/>
    <x v="3"/>
    <m/>
    <n v="0.05"/>
    <n v="0.05"/>
    <n v="0.05"/>
    <m/>
    <m/>
  </r>
  <r>
    <s v="OK"/>
    <s v="Tanzania"/>
    <n v="1199"/>
    <s v="Free Goods"/>
    <s v="Free product used during product launches / distribution drives at retail POS (i.e. buy 1 get 1 free)"/>
    <s v="Retailer"/>
    <s v="501605 BTLTradePromTradeDirAppeal PrgmsTradeIncentives"/>
    <x v="1"/>
    <s v="341408 TITP Allowances - Non-SD"/>
    <s v="Non-SD"/>
    <x v="3"/>
    <m/>
    <n v="0.05"/>
    <n v="0.05"/>
    <n v="0.05"/>
    <m/>
    <m/>
  </r>
  <r>
    <s v="OK"/>
    <s v="Tanzania"/>
    <n v="1199"/>
    <s v="Free Goods"/>
    <s v="Free product used for 1-2-1 activation consumer sampling"/>
    <s v="End Consumer"/>
    <s v="501605 BTLTradePromTradeDirAppeal PrgmsTradeIncentives"/>
    <x v="1"/>
    <s v="341408 TITP Allowances - Non-SD"/>
    <s v="Non-SD"/>
    <x v="3"/>
    <m/>
    <n v="0.02"/>
    <n v="0.02"/>
    <n v="0.02"/>
    <m/>
    <m/>
  </r>
  <r>
    <s v="OK"/>
    <s v="USA"/>
    <n v="1256"/>
    <s v="Immediate payment discount"/>
    <s v="2.5% discount given to all customers for immediate payment (signed up with EFT)"/>
    <s v="Wholesaler"/>
    <s v="306010 Cash Discount"/>
    <x v="2"/>
    <s v="341200 Payment allowances - SD"/>
    <s v="SD"/>
    <x v="1"/>
    <n v="5.3949999999999996"/>
    <m/>
    <m/>
    <m/>
    <m/>
    <m/>
  </r>
  <r>
    <s v="OK"/>
    <s v="USA"/>
    <n v="1256"/>
    <s v="Promotional &quot;poly&quot;-wrap discount"/>
    <s v="Promotional discount on &quot;poly&quot; SKUs - ex. packs with &quot;$0.75 off&quot; wrap/sticker"/>
    <s v="Wholesaler"/>
    <s v="313010 Discount adjustments account"/>
    <x v="2"/>
    <s v="341100 Consumer allowances - SD"/>
    <s v="SD"/>
    <x v="1"/>
    <n v="2.8800000000000003"/>
    <m/>
    <m/>
    <m/>
    <m/>
    <m/>
  </r>
  <r>
    <s v="OK"/>
    <s v="USA"/>
    <n v="1256"/>
    <s v="Buydowns (Core PCP - Manual)"/>
    <s v="Per carton discount given to contracted retailers for selling JTI product, in order to sell at competitive RSP"/>
    <s v="Retailer"/>
    <s v="308011 Trade Allowance booked outside SD"/>
    <x v="0"/>
    <s v="341108 Consumer allowances - Non-SD"/>
    <s v="Non-SD"/>
    <x v="1"/>
    <m/>
    <n v="22.816852999999998"/>
    <n v="22.816852999999998"/>
    <n v="0"/>
    <n v="22.816852999999998"/>
    <n v="22.816852999999998"/>
  </r>
  <r>
    <s v="OK"/>
    <s v="USA"/>
    <n v="1256"/>
    <s v="Merchandising"/>
    <s v="Per carton discount given to contracted retailers for cost of signage, shelf space, etc."/>
    <s v="Retailer"/>
    <s v="308011 Trade Allowance booked outside SD"/>
    <x v="0"/>
    <s v="351100 Listing / Slotting / Visibility Fees"/>
    <s v="N/A"/>
    <x v="0"/>
    <m/>
    <m/>
    <m/>
    <m/>
    <n v="1.4436739999999999"/>
    <n v="1.4436739999999999"/>
  </r>
  <r>
    <s v="OK"/>
    <s v="USA"/>
    <n v="1256"/>
    <s v="Distributor Incentive"/>
    <s v="Per carton discount given to contracted retailers for distributing JTI product"/>
    <s v="Wholesaler"/>
    <s v="308011 Trade Allowance booked outside SD"/>
    <x v="0"/>
    <s v="341508 Distributor / Wholesaler / Freight allowances - Non-SD"/>
    <s v="Non-SD"/>
    <x v="2"/>
    <m/>
    <n v="1.942572"/>
    <n v="1.942572"/>
    <n v="0"/>
    <n v="1.942572"/>
    <n v="1.942572"/>
  </r>
  <r>
    <s v="OK"/>
    <s v="USA"/>
    <n v="1256"/>
    <s v="Price Increase Credit"/>
    <s v="Credit for the difference between new/old list prices, less any applicable payment terms, for 3 days’ average purchases"/>
    <s v="Wholesaler"/>
    <s v="308012 Tactical Promotional Payments"/>
    <x v="0"/>
    <s v="341108 Consumer allowances - Non-SD"/>
    <s v="Non-SD"/>
    <x v="1"/>
    <m/>
    <n v="7.2999999999999995E-2"/>
    <n v="7.2999999999999995E-2"/>
    <n v="0"/>
    <n v="7.2999999999999995E-2"/>
    <n v="7.2999999999999995E-2"/>
  </r>
  <r>
    <s v="OK"/>
    <s v="USA"/>
    <n v="1256"/>
    <s v="Retailer Special Discounts - Profit Guarantee (Distributors)"/>
    <s v="Discounts given to specific chains (Circle K, Speedway, etc.) in order for them to provide competitive RSP for JTI products"/>
    <s v="Distributor"/>
    <s v="308011 Trade Allowance booked outside SD"/>
    <x v="0"/>
    <s v="341108 Consumer allowances - Non-SD"/>
    <s v="Non-SD"/>
    <x v="1"/>
    <m/>
    <n v="1.384142"/>
    <n v="1.384142"/>
    <n v="0"/>
    <n v="1.384142"/>
    <n v="1.384142"/>
  </r>
  <r>
    <s v="OK"/>
    <s v="USA"/>
    <n v="1256"/>
    <s v="Display/Visibility Incentives"/>
    <s v="Per carton discount given to contracted retailers for signage/shelf space"/>
    <s v="Retailer"/>
    <s v="502660 BTLCons PromConsumer Dir AppealPriceDiscount"/>
    <x v="1"/>
    <s v="351100 Listing / Slotting / Visibility Fees"/>
    <s v="N/A"/>
    <x v="0"/>
    <m/>
    <m/>
    <m/>
    <m/>
    <n v="3.524E-2"/>
    <n v="3.524E-2"/>
  </r>
  <r>
    <s v="OK"/>
    <s v="USA"/>
    <n v="1256"/>
    <s v="Sticker Promotions"/>
    <s v="Promotional discount on &quot;poly&quot; SKUs - ex. packs with &quot;$0.75 off&quot; wrap/sticker"/>
    <s v="Retailer"/>
    <s v="502660 BTLCons PromConsumer Dir AppealPriceDiscount"/>
    <x v="1"/>
    <s v="351400 Retail Allowances"/>
    <s v="N/A"/>
    <x v="0"/>
    <m/>
    <m/>
    <m/>
    <m/>
    <n v="1.0571999999999999"/>
    <n v="1.0571999999999999"/>
  </r>
  <r>
    <s v="OK"/>
    <s v="USA"/>
    <n v="1256"/>
    <s v="Lowest Price Incentive"/>
    <s v="Per carton discount given to contracted retailers for selling JTI product at the lowest price vs. competitors"/>
    <s v="Retailer"/>
    <s v="308011 Trade Allowance booked outside SD"/>
    <x v="0"/>
    <s v="341108 Consumer allowances - Non-SD"/>
    <s v="Non-SD"/>
    <x v="1"/>
    <m/>
    <n v="1.048673"/>
    <n v="1.048673"/>
    <n v="0"/>
    <n v="1.048673"/>
    <n v="1.048673"/>
  </r>
  <r>
    <s v="OK"/>
    <s v="USA"/>
    <n v="1256"/>
    <s v="Retail Incentives"/>
    <s v="Specific promotions at the retail level, ie. &quot;buy two packs get one free&quot; for a specific promotional period"/>
    <s v="Retailer"/>
    <s v="502660 BTLCons PromConsumer Dir AppealPriceDiscount"/>
    <x v="1"/>
    <s v="351400 Retail Allowances"/>
    <s v="N/A"/>
    <x v="0"/>
    <m/>
    <m/>
    <m/>
    <m/>
    <n v="0.1"/>
    <n v="0.1"/>
  </r>
  <r>
    <s v="OK"/>
    <s v="Belarus"/>
    <n v="1318"/>
    <s v="Distribution project realization reward"/>
    <s v="Bonuses to trade, drive team (field force motivation), stock compensation, etc"/>
    <s v="Distributor"/>
    <s v="307016 Distribution commissions"/>
    <x v="0"/>
    <s v="341508 Distributor / Wholesaler / Freight allowances - Non-SD"/>
    <s v="Non-SD"/>
    <x v="2"/>
    <m/>
    <n v="1.3"/>
    <n v="1.3"/>
    <n v="1.3"/>
    <n v="1.3"/>
    <n v="1.3"/>
  </r>
  <r>
    <s v="OK"/>
    <s v="Belarus"/>
    <n v="1318"/>
    <s v="Slotting / listing fees / Visibility fees"/>
    <s v="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Contracts are annual or multi-year agreements. "/>
    <s v="Retailer"/>
    <s v="502455 BTLTrade/MerchAllowShelfAllowDistributionMaintFee"/>
    <x v="1"/>
    <s v="351100 Listing / Slotting / Visibility Fees"/>
    <s v="N/A"/>
    <x v="0"/>
    <m/>
    <m/>
    <m/>
    <m/>
    <m/>
    <m/>
  </r>
  <r>
    <s v="OK"/>
    <s v="Belarus"/>
    <n v="1318"/>
    <s v="Sales Operations: Bonus (Retailer)"/>
    <s v="Target achievement bonus for retailers, can relate to volumes bonus and compiance with contract bonus (eg, no Out of Stock, SKU variety, maintained shelf space %, etc)"/>
    <s v="Retailer"/>
    <s v="502450 BTLTrade/MerchAllowShelfAllowShelfSpaceFee"/>
    <x v="1"/>
    <s v="351400 Retail Allowances"/>
    <s v="N/A"/>
    <x v="0"/>
    <m/>
    <m/>
    <m/>
    <m/>
    <m/>
    <m/>
  </r>
  <r>
    <s v="OK"/>
    <s v="Taiwan"/>
    <n v="1252"/>
    <s v="Trade allowance"/>
    <s v="To strengthen partnership with Key Accounts related to building volumes, achieving certain level of sales - fee paid relates to distribution service provided by 7-Eleven"/>
    <s v="Retailer"/>
    <s v="308010 Trade Allowance"/>
    <x v="0"/>
    <s v="341500 Distributor / Wholesaler / Freight allowances - SD"/>
    <s v="SD"/>
    <x v="2"/>
    <n v="16.578859919725602"/>
    <m/>
    <m/>
    <m/>
    <m/>
    <m/>
  </r>
  <r>
    <s v="OK"/>
    <s v="Taiwan"/>
    <n v="1252"/>
    <s v="Trade allowance"/>
    <s v="Manual adjustment for 7-11 and HL to exclude excise tax from above postings - month end. - fee paid relates to a distribution service provided by 7-Eleven"/>
    <s v="Retailer"/>
    <s v="308011 Trade Allowance booked outside SD"/>
    <x v="0"/>
    <s v="341508 Distributor / Wholesaler / Freight allowances - Non-SD"/>
    <s v="Non-SD"/>
    <x v="2"/>
    <m/>
    <n v="-2.1036445245901598"/>
    <n v="-2.1036445245901598"/>
    <n v="-2.1036445245901598"/>
    <m/>
    <m/>
  </r>
  <r>
    <s v="OK"/>
    <s v="Taiwan"/>
    <n v="1252"/>
    <s v="Trade allowance"/>
    <s v="POS and EOS fees were paid to obtain system sales data from Key Accounts."/>
    <s v="Retailer"/>
    <s v="313012 Trade discount adj for CO-PA COEL12"/>
    <x v="0"/>
    <s v="351500 Sales/Marketing Information Systems"/>
    <s v="N/A"/>
    <x v="0"/>
    <m/>
    <m/>
    <m/>
    <m/>
    <m/>
    <n v="1.6"/>
  </r>
  <r>
    <s v="OK"/>
    <s v="Taiwan"/>
    <n v="1252"/>
    <s v="Trade allowance"/>
    <s v="Oil price and Off-shore compensation is a logistic allowance give to KA to compensate the oil price variance and support Off-shore stores transportation cost"/>
    <s v="Retailer"/>
    <s v="313012 Trade discount adj for CO-PA COEL12"/>
    <x v="0"/>
    <s v="341508 Distributor / Wholesaler / Freight allowances - Non-SD"/>
    <s v="Non-SD"/>
    <x v="2"/>
    <m/>
    <n v="0.20121647150663499"/>
    <n v="0.20121647150663499"/>
    <n v="0.20121647150663499"/>
    <m/>
    <m/>
  </r>
  <r>
    <s v="OK"/>
    <s v="Taiwan"/>
    <n v="1252"/>
    <s v="Trade allowance"/>
    <s v="Technical price discounts to effectively execute/achieve business strategy_x000a_- Ah hoc - for price increase  (agreed windfall to customer (KA/GT)) / specific temporary price discount activitives._x000a_- Cash Discounts - Manual"/>
    <s v="Retailer"/>
    <s v="306016 Cash discount adjustment adj for CO-PA"/>
    <x v="2"/>
    <s v="341108 Consumer allowances - Non-SD"/>
    <s v="Non-SD"/>
    <x v="1"/>
    <m/>
    <n v="6.1746568852459006E-3"/>
    <n v="6.1746568852459006E-3"/>
    <n v="6.1746568852459006E-3"/>
    <m/>
    <m/>
  </r>
  <r>
    <s v="OK"/>
    <s v="Taiwan"/>
    <n v="1252"/>
    <s v="Trade allowance"/>
    <s v="- Boost/ Guarantee certain volume or sales from customers_x000a_- Yearly target incentive for Key Accounts"/>
    <s v="Retailer"/>
    <s v="307018 Distribution Commissions Manual Adjustment"/>
    <x v="0"/>
    <s v="351400 Retail Allowances"/>
    <s v="N/A"/>
    <x v="0"/>
    <m/>
    <m/>
    <m/>
    <m/>
    <m/>
    <m/>
  </r>
  <r>
    <n v="0"/>
    <s v="Taiwan"/>
    <n v="1252"/>
    <s v="Free Cigarettes"/>
    <s v="Free cigarettes to customers (KA/GT) for educational purpose and easier communication for new launches, LEB, LEP etc."/>
    <s v="Distributor"/>
    <s v="308020 Trade Incentive Tob Prod Allowance"/>
    <x v="0"/>
    <s v="341408 TITP Allowances - Non-SD"/>
    <s v="Non-SD"/>
    <x v="3"/>
    <m/>
    <n v="0.72023640655737697"/>
    <n v="0.72023640655737697"/>
    <n v="0.72023640655737697"/>
    <m/>
    <m/>
  </r>
  <r>
    <s v="OK"/>
    <s v="Taiwan"/>
    <n v="1252"/>
    <s v="Trade Incentives (trade marketing)"/>
    <s v="The national trade incentive program is translated from the portfolio strategy and aimed to support commercial objectives achievement, such as distribution, volume, brand awareness. The program is deployed in KA &amp; GT channels and pay to KA banners and GT outlets/TPs in program basis. "/>
    <s v="Retailer"/>
    <s v="501605 BTLTradePromTradeDirAppeal PrgmsTradeIncentives"/>
    <x v="1"/>
    <s v="351400 Retail Allowances"/>
    <s v="N/A"/>
    <x v="0"/>
    <m/>
    <m/>
    <m/>
    <m/>
    <m/>
    <m/>
  </r>
  <r>
    <s v="OK"/>
    <s v="Taiwan"/>
    <n v="1252"/>
    <s v="Trade Incentives (field marketing)"/>
    <s v="Trade programs developed on field base with specific outlet targeting to drive JTI distribution, visibility, volume and trial…etc. The programs are mostly in short period (2-3 months) without contract. Designed with the spirit of “pay by performance”. Frequency depends on field needs (around 100 programs in 2017"/>
    <s v="Retailer"/>
    <s v="501605 BTLTradePromTradeDirAppeal PrgmsTradeIncentives"/>
    <x v="1"/>
    <s v="351400 Retail Allowances"/>
    <s v="N/A"/>
    <x v="0"/>
    <m/>
    <m/>
    <m/>
    <m/>
    <m/>
    <m/>
  </r>
  <r>
    <s v="OK"/>
    <s v="Taiwan"/>
    <n v="1252"/>
    <s v="CVS Backwall Rental"/>
    <s v="Merchandising contracts with Key accounts &amp; Retailers on which we agree to pay a fee in order to have the display place on their store shelves. The rental is on monthly basis with fixed monthly rental per store.  Contracts are annual or multi-year agreements."/>
    <s v="Retailer"/>
    <s v="502200 BTLTrade/MerchAllowancesPOPMPlacement-PermIndoor"/>
    <x v="1"/>
    <s v="351100 Listing / Slotting / Visibility Fees"/>
    <s v="N/A"/>
    <x v="0"/>
    <m/>
    <m/>
    <m/>
    <m/>
    <m/>
    <m/>
  </r>
  <r>
    <s v="OK"/>
    <s v="Taiwan"/>
    <n v="1252"/>
    <s v="GT Shelf Rental &amp; Merchandising Agreement"/>
    <s v="Contracts with GT outlets on which we agree to pay a fee in order to have products placed on their shelves. This could include exact information on the visibility. The main purpose of the contracts is to increase JTI portfolio distribution and volume. Contracts are annual or multi-year agreements. The payment is monthly basis and paid by cigarette."/>
    <s v="Retailer"/>
    <s v="502250 BTLTrade/MerchAllowancesPOPMPlcmnt-Non-PermIndoor"/>
    <x v="1"/>
    <s v="351100 Listing / Slotting / Visibility Fees"/>
    <s v="N/A"/>
    <x v="0"/>
    <m/>
    <m/>
    <m/>
    <m/>
    <m/>
    <m/>
  </r>
  <r>
    <s v="OK"/>
    <s v="Taiwan"/>
    <n v="1252"/>
    <s v="Key Account Allowance"/>
    <s v="Agreement or contracts with Key accounts &amp; Retailers on which we agree to pay for  marketing activities or cooperation events such as trade show, bi-weekly magazine, online training and SOM incentives that come with merchandising contracts. The marketing allowances consist of both regular and one-time events depending on the agreement/ contracts."/>
    <s v="Retailer"/>
    <s v="502455 BTLTrade/MerchAllowShelfAllowDistributionMaintFee"/>
    <x v="1"/>
    <s v="351100 Listing / Slotting / Visibility Fees"/>
    <s v="N/A"/>
    <x v="0"/>
    <m/>
    <m/>
    <m/>
    <m/>
    <m/>
    <m/>
  </r>
  <r>
    <s v="OK"/>
    <s v="Taiwan"/>
    <n v="1252"/>
    <s v="Distributor Incentive"/>
    <s v="Incentive paid to trade partners according to monthly/quarterly/FY performance with benchmark against KPI audit"/>
    <s v="Distributor"/>
    <s v="502555 BTLTrade/MerchAllowBusDvlp/GrowthIncentDistrGains"/>
    <x v="1"/>
    <s v="351400 Retail Allowances"/>
    <s v="N/A"/>
    <x v="0"/>
    <m/>
    <m/>
    <m/>
    <m/>
    <m/>
    <m/>
  </r>
  <r>
    <s v="OK"/>
    <s v="Taiwan"/>
    <n v="1252"/>
    <s v="Super/Hyper Rental"/>
    <s v="Merchandising contracts with Super/Hyper retailers on which we agree to pay a fee in order to have the display place on their store shelves. The rental is on monthly basis with fixed monthly rental per store.  Contracts are annual or multi-year agreements."/>
    <s v="Retailer"/>
    <s v="502450 BTLTrade/MerchAllowShelfAllowShelfSpaceFee"/>
    <x v="1"/>
    <s v="351100 Listing / Slotting / Visibility Fees"/>
    <s v="N/A"/>
    <x v="0"/>
    <m/>
    <m/>
    <m/>
    <m/>
    <m/>
    <m/>
  </r>
  <r>
    <s v="OK"/>
    <s v="Switzerland"/>
    <n v="1100"/>
    <s v="Cash discounts"/>
    <s v="Cash discount (fixed amount or % ), applied to the direct customers for paying the invoice earlier. It's booked via SD module. Usually it's CHF/Mstick. "/>
    <s v="Retailer"/>
    <s v="306010 Cash Discount"/>
    <x v="2"/>
    <s v="341200 Payment allowances - SD"/>
    <s v="SD"/>
    <x v="1"/>
    <n v="2.092222925155208"/>
    <m/>
    <m/>
    <m/>
    <n v="2.092222925155208"/>
    <n v="2.092222925155208"/>
  </r>
  <r>
    <s v="OK"/>
    <s v="Switzerland"/>
    <n v="1100"/>
    <s v="Cash discounts"/>
    <s v="Cash discount (fixed amount or % ), applied to the direct customers for paying the invoice earlier. It's booked via SD module. Usually it's CHF/Mstick. "/>
    <s v="Distributor"/>
    <s v="306010 Cash Discount"/>
    <x v="2"/>
    <s v="341200 Payment allowances - SD"/>
    <s v="SD"/>
    <x v="1"/>
    <n v="2.092222925155208"/>
    <m/>
    <m/>
    <m/>
    <n v="2.092222925155208"/>
    <n v="2.092222925155208"/>
  </r>
  <r>
    <s v="OK"/>
    <s v="Switzerland"/>
    <n v="1100"/>
    <s v="Cash discounts"/>
    <s v="Cash discount (fixed amount or % ), applied to the direct customers for paying the invoice earlier. It's normally booked via SD module (adjustments, if any, are booked via GL journal manually). Usually it's CHF/Mstick. "/>
    <s v="Retailer"/>
    <s v="306015 Cash discount other"/>
    <x v="2"/>
    <s v="341208 Payment allowances - Non-SD"/>
    <s v="Non-SD"/>
    <x v="1"/>
    <m/>
    <n v="1E-3"/>
    <n v="0"/>
    <n v="1E-3"/>
    <n v="1E-3"/>
    <n v="1E-3"/>
  </r>
  <r>
    <s v="OK"/>
    <s v="Switzerland"/>
    <n v="1100"/>
    <s v="Cash discounts"/>
    <s v="Cash discount (fixed amount or % ), applied to the direct customers for paying the invoice earlier. It's normally booked via SD module (adjustments, if any, are booked via GL journal manually). Usually it's CHF/Mstick. "/>
    <s v="Distributor"/>
    <s v="306015 Cash discount other"/>
    <x v="2"/>
    <s v="341208 Payment allowances - Non-SD"/>
    <s v="Non-SD"/>
    <x v="1"/>
    <m/>
    <n v="1E-3"/>
    <n v="0"/>
    <n v="1E-3"/>
    <n v="1E-3"/>
    <n v="1E-3"/>
  </r>
  <r>
    <s v="OK"/>
    <s v="Switzerland"/>
    <n v="1100"/>
    <s v="Retailer special discounts"/>
    <s v="1) Discounts given to direct customers for providing us trade sales/inventory data _x000a_it's CHF/Mstick, therefore is booked via SD module"/>
    <s v="Retailer"/>
    <s v="308010 Trade Allowance"/>
    <x v="0"/>
    <s v="351500 Sales/Marketing Information Systems"/>
    <s v="N/A"/>
    <x v="0"/>
    <m/>
    <m/>
    <m/>
    <m/>
    <n v="1.7109892450397921"/>
    <n v="1.7109892450397921"/>
  </r>
  <r>
    <s v="OK"/>
    <s v="Switzerland"/>
    <n v="1100"/>
    <s v="Retailer special discounts"/>
    <s v="2) Special partnership level based discounts given to direct customers, as part of negotiation agreement. _x000a_it's CHF/Mstick, therefore is booked via SD module"/>
    <s v="Retailer"/>
    <s v="308010 Trade Allowance"/>
    <x v="0"/>
    <s v="351400 Retail Allowances"/>
    <s v="N/A"/>
    <x v="0"/>
    <m/>
    <m/>
    <m/>
    <m/>
    <n v="1.7109892450397921"/>
    <n v="1.7109892450397921"/>
  </r>
  <r>
    <s v="OK"/>
    <s v="Switzerland"/>
    <n v="1100"/>
    <s v="Retailer special discounts"/>
    <s v="1) Discounts given to direct customers for providing us trade sales/inventory data _x000a_adjustments, if any, that are booked via GL journal manually"/>
    <s v="Retailer"/>
    <s v="308011 Trade Allowance booked outside SD"/>
    <x v="0"/>
    <s v="351500 Sales/Marketing Information Systems"/>
    <s v="N/A"/>
    <x v="0"/>
    <m/>
    <m/>
    <m/>
    <m/>
    <n v="1E-3"/>
    <n v="1E-3"/>
  </r>
  <r>
    <s v="OK"/>
    <s v="Switzerland"/>
    <n v="1100"/>
    <s v="Retailer special discounts"/>
    <s v="2) Special partnership level based discounts given to direct customers, as part of negotiation agreement. _x000a_adjustments, if any, that are booked via GL journal manually"/>
    <s v="Retailer"/>
    <s v="308011 Trade Allowance booked outside SD"/>
    <x v="0"/>
    <s v="351400 Retail Allowances"/>
    <s v="N/A"/>
    <x v="0"/>
    <m/>
    <m/>
    <m/>
    <m/>
    <n v="9.9999999999999995E-7"/>
    <n v="9.9999999999999995E-7"/>
  </r>
  <r>
    <s v="OK"/>
    <s v="Switzerland"/>
    <n v="1100"/>
    <s v="Distributor special discounts"/>
    <s v="1) Discounts given to direct customers for providing us trade sales/inventory data _x000a_it's CHF/Mstick, therefore is booked via SD module"/>
    <s v="Distributor"/>
    <s v="308010 Trade Allowance"/>
    <x v="0"/>
    <s v="351500 Sales/Marketing Information Systems"/>
    <s v="N/A"/>
    <x v="0"/>
    <m/>
    <m/>
    <m/>
    <m/>
    <n v="1.7109892450397921"/>
    <n v="1.7109892450397921"/>
  </r>
  <r>
    <s v="OK"/>
    <s v="Switzerland"/>
    <n v="1100"/>
    <s v="Distributor special discounts"/>
    <s v="2) Special partnership level based discounts given to direct customers, as part of negotiation agreement. _x000a_it's CHF/Mstick, therefore is booked via SD module"/>
    <s v="Distributor"/>
    <s v="308010 Trade Allowance"/>
    <x v="0"/>
    <s v="341500 Distributor / Wholesaler / Freight allowances - SD"/>
    <s v="SD"/>
    <x v="2"/>
    <n v="1.7109892450397921"/>
    <m/>
    <m/>
    <m/>
    <n v="1.7109892450397921"/>
    <n v="1.7109892450397921"/>
  </r>
  <r>
    <s v="OK"/>
    <s v="Switzerland"/>
    <n v="1100"/>
    <s v="Distributor special discounts"/>
    <s v="1) Discounts given to direct customers for providing us trade sales/inventory data _x000a_adjustments, if any, that are booked via GL journal manually"/>
    <s v="Distributor"/>
    <s v="308011 Trade Allowance booked outside SD"/>
    <x v="0"/>
    <s v="351500 Sales/Marketing Information Systems"/>
    <s v="N/A"/>
    <x v="0"/>
    <m/>
    <m/>
    <m/>
    <m/>
    <n v="1E-3"/>
    <n v="1E-3"/>
  </r>
  <r>
    <s v="OK"/>
    <s v="Switzerland"/>
    <n v="1100"/>
    <s v="Distributor special discounts"/>
    <s v="2) Special partnership level based discounts given to direct customers, as part of negotiation agreement. _x000a_adjustments, if any, that are booked via GL journal manually"/>
    <s v="Distributor"/>
    <s v="308011 Trade Allowance booked outside SD"/>
    <x v="0"/>
    <s v="341508 Distributor / Wholesaler / Freight allowances - Non-SD"/>
    <s v="Non-SD"/>
    <x v="2"/>
    <m/>
    <n v="9.9999999999999995E-7"/>
    <n v="9.9999999999999995E-7"/>
    <n v="0"/>
    <n v="9.9999999999999995E-7"/>
    <n v="9.9999999999999995E-7"/>
  </r>
  <r>
    <s v="OK"/>
    <s v="Switzerland"/>
    <n v="1100"/>
    <s v="Freight Allowance"/>
    <s v="A discount (CHF/M stick), given to those direct customers, that come to pick up goods to JTI warehouse by themselves (if JTI delivers goods to customer's central warehouse - no discount is applied).  Booked via SD module (adjustments, if any, are booked via GL journal manually)"/>
    <s v="Retailer"/>
    <s v="307010 Freight Allowance"/>
    <x v="0"/>
    <s v="341500 Distributor / Wholesaler / Freight allowances - SD"/>
    <s v="SD"/>
    <x v="2"/>
    <n v="0.20377585714285712"/>
    <m/>
    <m/>
    <m/>
    <n v="0.20377585714285712"/>
    <n v="0.20377585714285712"/>
  </r>
  <r>
    <s v="OK"/>
    <s v="Switzerland"/>
    <n v="1100"/>
    <s v="Freight Allowance"/>
    <s v="A discount (CHF/M stick), given to those direct customers, that come to pick up goods to JTI warehouse by themselves (if JTI delivers goods to customer's central warehouse - no discount is applied).  Booked via SD module (adjustments, if any, are booked via GL journal manually)"/>
    <s v="Retailer"/>
    <s v="307011 Freight Allowance Manual Adj"/>
    <x v="0"/>
    <s v="341508 Distributor / Wholesaler / Freight allowances - Non-SD"/>
    <s v="Non-SD"/>
    <x v="2"/>
    <m/>
    <n v="9.9999999999999995E-7"/>
    <n v="9.9999999999999995E-7"/>
    <n v="0"/>
    <n v="9.9999999999999995E-7"/>
    <n v="9.9999999999999995E-7"/>
  </r>
  <r>
    <s v="OK"/>
    <s v="Switzerland"/>
    <n v="1100"/>
    <s v="Freight Allowance"/>
    <s v="A discount (CHF/M stick), given to those direct customers, that come to pick up goods to JTI warehouse by themselves (if JTI delivers goods to customer's central warehouse - no discount is applied).  Booked via SD module (adjustments, if any, are booked via GL journal manually)"/>
    <s v="Distributor"/>
    <s v="307010 Freight Allowance"/>
    <x v="0"/>
    <s v="341500 Distributor / Wholesaler / Freight allowances - SD"/>
    <s v="SD"/>
    <x v="2"/>
    <n v="0.20377585714285712"/>
    <m/>
    <m/>
    <m/>
    <n v="0.20377585714285712"/>
    <n v="0.20377585714285712"/>
  </r>
  <r>
    <s v="OK"/>
    <s v="Switzerland"/>
    <n v="1100"/>
    <s v="Freight Allowance"/>
    <s v="A discount (CHF/M stick), given to those direct customers, that come to pick up goods to JTI warehouse by themselves (if JTI delivers goods to customer's central warehouse - no discount is applied).  Booked via SD module (adjustments, if any, are booked via GL journal manually)"/>
    <s v="Distributor"/>
    <s v="307011 Freight Allowance Manual Adj"/>
    <x v="0"/>
    <s v="341508 Distributor / Wholesaler / Freight allowances - Non-SD"/>
    <s v="Non-SD"/>
    <x v="2"/>
    <m/>
    <n v="9.9999999999999995E-7"/>
    <n v="9.9999999999999995E-7"/>
    <n v="0"/>
    <n v="9.9999999999999995E-7"/>
    <n v="9.9999999999999995E-7"/>
  </r>
  <r>
    <s v="OK"/>
    <s v="Switzerland"/>
    <n v="1100"/>
    <s v="Freight Allowance booked via PO (ex Trade bonus)"/>
    <s v="In the past we used to book trade bonus here. But as of 2015 all trade bonus are booked under Mrkt allowances. Currently in this JTIO we only book freight allowances for 2 customers (1 retail, 1 distributor). The concept is the same as freight allowances described above (307011 JTIO). However, those 2 customers requested allowances being paid via separately issued invoices (via P2P cycle) instead of being charged via sales invoices (SD module). Theoretically, it could probably be booked under 307011. "/>
    <s v="Retailer"/>
    <s v="307015 Distribution allowance"/>
    <x v="0"/>
    <s v="341508 Distributor / Wholesaler / Freight allowances - Non-SD"/>
    <s v="Non-SD"/>
    <x v="2"/>
    <m/>
    <n v="0.11935320408163265"/>
    <n v="0.11935320408163265"/>
    <n v="0"/>
    <n v="0.11935320408163265"/>
    <n v="0.11935320408163265"/>
  </r>
  <r>
    <s v="OK"/>
    <s v="Switzerland"/>
    <n v="1100"/>
    <s v="Freight Allowance booked via PO (ex Trade bonus)"/>
    <s v="In the past we used to book trade bonus here. But as of 2015 all trade bonus are booked under Mrkt allowances. Currently in this JTIO we only book freight allowances for 2 customers (1 retail, 1 distributor). The concept is the same as freight allowances described above (307011 JTIO). However, those 2 customers requested allowances being paid via separately issued invoices (via P2P cycle) instead of being charged via sales invoices (SD module). Theoretically, it could probably be booked under 307011. "/>
    <s v="Distributor"/>
    <s v="307015 Distribution allowance"/>
    <x v="0"/>
    <s v="341508 Distributor / Wholesaler / Freight allowances - Non-SD"/>
    <s v="Non-SD"/>
    <x v="2"/>
    <m/>
    <n v="0.11935320408163265"/>
    <n v="0.11935320408163265"/>
    <n v="0"/>
    <n v="0.11935320408163265"/>
    <n v="0.11935320408163265"/>
  </r>
  <r>
    <s v="OK"/>
    <s v="Switzerland"/>
    <n v="1100"/>
    <s v="Handling fees (online sales)"/>
    <s v="Ploom Tech: handling, shipping and transaction cost for the services provided by distributor for online sales: we sell Ploomtech online. Where sales price to distributor = final consumer price = RSP. Therefore, distributor charges us at month end for the logistics service cost (invoice via P2P cycle)"/>
    <s v="Distributor"/>
    <s v="307016 Distribution commissions"/>
    <x v="0"/>
    <s v="341508 Distributor / Wholesaler / Freight allowances - Non-SD"/>
    <s v="Non-SD"/>
    <x v="2"/>
    <m/>
    <n v="0.03"/>
    <n v="0.03"/>
    <n v="0"/>
    <n v="0.03"/>
    <n v="0.03"/>
  </r>
  <r>
    <s v="OK"/>
    <s v="Switzerland"/>
    <n v="1100"/>
    <s v="Faulty goods replacement"/>
    <s v="Ploom Tech: comensation or replacement of damaged or faulty goods. Normally, there is no physical return of a faulty good. "/>
    <s v="Distributor"/>
    <s v="309010 Spoiled / Damaged Allowance"/>
    <x v="2"/>
    <s v="341300 Sales/Returns allowances - SD"/>
    <s v="SD"/>
    <x v="3"/>
    <n v="9.9999999999999995E-7"/>
    <m/>
    <m/>
    <m/>
    <n v="9.9999999999999995E-7"/>
    <n v="9.9999999999999995E-7"/>
  </r>
  <r>
    <s v="OK"/>
    <s v="Switzerland"/>
    <n v="1100"/>
    <s v="Faulty goods replacement"/>
    <s v="Ploom Tech: comensation or replacement of damaged or faulty goods. Normally, there is no physical return of a faulty good. "/>
    <s v="Distributor"/>
    <s v="309010 Spoiled / Damaged Allowance"/>
    <x v="2"/>
    <s v="341308 Sales/Returns allowances - Non-SD"/>
    <s v="Non-SD"/>
    <x v="3"/>
    <m/>
    <n v="0.01"/>
    <n v="0.01"/>
    <n v="0"/>
    <n v="0.01"/>
    <n v="0.01"/>
  </r>
  <r>
    <s v="OK"/>
    <s v="Switzerland"/>
    <n v="1100"/>
    <s v="Faulty goods replacement"/>
    <s v="Ploom Tech: comensation or replacement of damaged or faulty goods. Normally, there is no physical return of a faulty good. "/>
    <s v="Distributor"/>
    <s v="308060 Swap Stock / Damages – Stock Credits"/>
    <x v="0"/>
    <s v="341300 Sales/Returns allowances - SD"/>
    <s v="SD"/>
    <x v="3"/>
    <n v="1E-4"/>
    <m/>
    <m/>
    <m/>
    <n v="1E-4"/>
    <n v="1E-4"/>
  </r>
  <r>
    <s v="OK"/>
    <s v="Switzerland"/>
    <n v="1100"/>
    <s v="Faulty goods replacement"/>
    <s v="Ploom Tech: comensation or replacement of damaged or faulty goods. Normally, there is no physical return of a faulty good. "/>
    <s v="Distributor"/>
    <s v="308060 Swap Stock / Damages – Stock Credits"/>
    <x v="0"/>
    <s v="341308 Sales/Returns allowances - Non-SD"/>
    <s v="Non-SD"/>
    <x v="3"/>
    <m/>
    <n v="0.01"/>
    <n v="0.01"/>
    <n v="0"/>
    <n v="0.01"/>
    <n v="0.01"/>
  </r>
  <r>
    <s v="OK"/>
    <s v="Switzerland"/>
    <n v="1100"/>
    <s v="Strategic price discounting"/>
    <s v="This is promotional/strategic price discounting provided to the final consumers, allowing them to get products at reduced price.  It's NOT a price discounting to the RETAIL.  "/>
    <s v="End Consumer"/>
    <s v="502660 BTLCons PromConsumer Dir AppealPriceDiscount"/>
    <x v="1"/>
    <s v="341100 Consumer allowances - SD"/>
    <s v="SD"/>
    <x v="1"/>
    <n v="9.9999999999999995E-7"/>
    <m/>
    <m/>
    <m/>
    <n v="9.9999999999999995E-7"/>
    <n v="9.9999999999999995E-7"/>
  </r>
  <r>
    <s v="OK"/>
    <s v="Switzerland"/>
    <n v="1100"/>
    <s v="Strategic price discounting"/>
    <s v="This is promotional/strategic price discounting provided to the final consumers, allowing them to get products at reduced price.  It's NOT a price discounting to the RETAIL.  "/>
    <s v="End Consumer"/>
    <s v="502660 BTLCons PromConsumer Dir AppealPriceDiscount"/>
    <x v="1"/>
    <s v="341108 Consumer allowances - Non-SD"/>
    <s v="Non-SD"/>
    <x v="1"/>
    <m/>
    <n v="10.954579574393735"/>
    <n v="10.954579574393735"/>
    <n v="0"/>
    <n v="10.954579574393735"/>
    <n v="10.954579574393735"/>
  </r>
  <r>
    <s v="OK"/>
    <s v="Switzerland"/>
    <n v="1100"/>
    <s v="Sales Operations: Sales info purchase"/>
    <s v="Trade/sell-in (shipments to the stores/POP) data purchase cost from retailers and distributors"/>
    <s v="Retailer"/>
    <s v="502010 BTLSalesInformationPurchasePOPDataPOPDataPurchas"/>
    <x v="1"/>
    <s v="351500 Sales/Marketing Information Systems"/>
    <s v="N/A"/>
    <x v="0"/>
    <m/>
    <m/>
    <m/>
    <m/>
    <n v="0.3418367346938776"/>
    <n v="0.3418367346938776"/>
  </r>
  <r>
    <s v="OK"/>
    <s v="Switzerland"/>
    <n v="1100"/>
    <s v="Sales Operations: Sales info purchase"/>
    <s v="Trade/sell-in (shipments to the stores/POP) data purchase cost from retailers and distributors"/>
    <s v="Distributor"/>
    <s v="502010 BTLSalesInformationPurchasePOPDataPOPDataPurchas"/>
    <x v="1"/>
    <s v="351500 Sales/Marketing Information Systems"/>
    <s v="N/A"/>
    <x v="0"/>
    <m/>
    <m/>
    <m/>
    <m/>
    <n v="0.3418367346938776"/>
    <n v="0.3418367346938776"/>
  </r>
  <r>
    <s v="OK"/>
    <s v="Switzerland"/>
    <n v="1100"/>
    <s v="Sales Operations: Fixed Promotion Period &amp; POSM"/>
    <s v="Payments for promotions: promo slots, posters, advertisements, etc. These promo payments are usually part of the contracts "/>
    <s v="Retailer"/>
    <s v="502200 BTLTrade/MerchAllowancesPOPMPlacement-PermIndoor"/>
    <x v="1"/>
    <s v="351200 Trade POPMs Placement Fees - PERMANENT"/>
    <s v="N/A"/>
    <x v="0"/>
    <m/>
    <m/>
    <m/>
    <m/>
    <n v="4.552142857142857"/>
    <n v="4.552142857142857"/>
  </r>
  <r>
    <s v="OK"/>
    <s v="Switzerland"/>
    <n v="1100"/>
    <s v="Sales Operations: Temp Promotion Period &amp; POSM"/>
    <s v="Payments for promotions: promo slots, posters, advertisements, etc. These promo payments are usually part of the contracts "/>
    <s v="Retailer"/>
    <s v="502200 BTLTrade/MerchAllowancesPOPMPlacement-PermIndoor"/>
    <x v="1"/>
    <s v="351300 Trade POPMs Placement Fees - TEMPORARY"/>
    <s v="N/A"/>
    <x v="0"/>
    <m/>
    <m/>
    <m/>
    <m/>
    <n v="1"/>
    <n v="1"/>
  </r>
  <r>
    <s v="OK"/>
    <s v="Switzerland"/>
    <n v="1100"/>
    <s v="Sales Operations: Fixed Shelf Space/Visibility"/>
    <s v="Payments to the retail for share of shelf and location of shelf"/>
    <s v="Retailer"/>
    <s v="502450 BTLTrade/MerchAllowShelfAllowShelfSpaceFee"/>
    <x v="1"/>
    <s v="351100 Listing / Slotting / Visibility Fees"/>
    <s v="N/A"/>
    <x v="0"/>
    <m/>
    <m/>
    <m/>
    <m/>
    <n v="5.5650010204081628"/>
    <n v="5.5650010204081628"/>
  </r>
  <r>
    <s v="OK"/>
    <s v="Switzerland"/>
    <n v="1100"/>
    <s v="Sales Operations: Fixed Distribution fee"/>
    <s v="Payments to the retail for product availability on shelf (ie, for number and variety of SKU)"/>
    <s v="Retailer"/>
    <s v="502455 BTLTrade/MerchAllowShelfAllowDistributionMaintFee"/>
    <x v="1"/>
    <s v="351100 Listing / Slotting / Visibility Fees"/>
    <s v="N/A"/>
    <x v="0"/>
    <m/>
    <m/>
    <m/>
    <m/>
    <n v="5.1540816326530612"/>
    <n v="5.1540816326530612"/>
  </r>
  <r>
    <s v="OK"/>
    <s v="Switzerland"/>
    <n v="1100"/>
    <s v="Sales Operations: Vending contracts"/>
    <s v="Fixed distribution fee for the vending channel retailers"/>
    <s v="Retailer"/>
    <s v="502460 BTLTrade/MerchAllowShelfAllowVendingColListingFee"/>
    <x v="1"/>
    <s v="351100 Listing / Slotting / Visibility Fees"/>
    <s v="N/A"/>
    <x v="0"/>
    <m/>
    <m/>
    <m/>
    <m/>
    <n v="9.9999999999999995E-7"/>
    <n v="9.9999999999999995E-7"/>
  </r>
  <r>
    <s v="OK"/>
    <s v="Switzerland"/>
    <n v="1100"/>
    <s v="Sales Operations: Vending contracts"/>
    <s v="Fixed distribution fee for the vending channel retailers"/>
    <s v="Retailer"/>
    <s v="502465 BTLTrade/MerchAllowShelfAllowVendingvisibilityfee"/>
    <x v="1"/>
    <s v="351100 Listing / Slotting / Visibility Fees"/>
    <s v="N/A"/>
    <x v="0"/>
    <m/>
    <m/>
    <m/>
    <m/>
    <n v="9.9999999999999995E-7"/>
    <n v="9.9999999999999995E-7"/>
  </r>
  <r>
    <s v="OK"/>
    <s v="Switzerland"/>
    <n v="1100"/>
    <s v="Sales Operations: Temp Promotion &amp; POSM"/>
    <s v="Payments for the promotions at retail (promo slots, advertisements, etc), that arise as opportunity (ie, not pre-agreed in contracts)"/>
    <s v="Retailer"/>
    <s v="502500 BTLTrade/MerchAllowInStoreAllowDispl/POPMLocatnFee"/>
    <x v="1"/>
    <s v="351300 Trade POPMs Placement Fees - TEMPORARY"/>
    <s v="N/A"/>
    <x v="0"/>
    <m/>
    <m/>
    <m/>
    <m/>
    <n v="0.16887755102040816"/>
    <n v="0.16887755102040816"/>
  </r>
  <r>
    <s v="OK"/>
    <s v="Switzerland"/>
    <n v="1100"/>
    <s v="Sales Operations: bonus"/>
    <s v="Target achievement bonus: volume bonus and compliance with contract bonus (eg, no Out of Stock, SKU variety, maintained shelf space %, etc)."/>
    <s v="Retailer"/>
    <s v="502550 BTLTrade/MerchAllowBusDvlp/GrowthIncentVolGrowth"/>
    <x v="1"/>
    <s v="351400 Retail Allowances"/>
    <s v="N/A"/>
    <x v="0"/>
    <m/>
    <m/>
    <m/>
    <m/>
    <n v="3.2856428571428573"/>
    <n v="3.2856428571428573"/>
  </r>
  <r>
    <s v="OK"/>
    <s v="Switzerland"/>
    <n v="1100"/>
    <s v="Sales Operations: bonus"/>
    <s v="Target achievement bonus: volume bonus and compliance with contract bonus (eg, no Out of Stock, SKU variety, maintained shelf space %, etc)."/>
    <s v="Distributor"/>
    <s v="502550 BTLTrade/MerchAllowBusDvlp/GrowthIncentVolGrowth"/>
    <x v="1"/>
    <s v="341508 Distributor / Wholesaler / Freight allowances - Non-SD"/>
    <s v="Non-SD"/>
    <x v="2"/>
    <m/>
    <n v="3.2856428571428573"/>
    <n v="3.2856428571428573"/>
    <n v="0"/>
    <n v="3.2856428571428573"/>
    <n v="3.2856428571428573"/>
  </r>
  <r>
    <s v="OK"/>
    <s v="Switzerland"/>
    <n v="1100"/>
    <s v="Sales Operations: Listing fees (new SKU)"/>
    <s v="Payment to trade for the introduction of a NEW brand or SKU (shelf space, database update, etc)"/>
    <s v="Retailer"/>
    <s v="502570 BTLTradMerchAllowBusDvlGrowthIncentNewIntroListFee"/>
    <x v="1"/>
    <s v="351100 Listing / Slotting / Visibility Fees"/>
    <s v="N/A"/>
    <x v="0"/>
    <m/>
    <m/>
    <m/>
    <m/>
    <n v="0.23469387755102042"/>
    <n v="0.23469387755102042"/>
  </r>
  <r>
    <s v="OK"/>
    <s v="Switzerland"/>
    <n v="1100"/>
    <s v="Sales Operations: Listing fees (new SKU)"/>
    <s v="Payment to trade for the introduction of a NEW brand or SKU (shelf space, database update, etc)"/>
    <s v="Distributor"/>
    <s v="502570 BTLTradMerchAllowBusDvlGrowthIncentNewIntroListFee"/>
    <x v="1"/>
    <s v="341508 Distributor / Wholesaler / Freight allowances - Non-SD"/>
    <s v="Non-SD"/>
    <x v="2"/>
    <m/>
    <n v="0.23469387755102042"/>
    <n v="0.23469387755102042"/>
    <n v="0"/>
    <n v="0.23469387755102042"/>
    <n v="0.23469387755102042"/>
  </r>
  <r>
    <s v="OK"/>
    <s v="Caucasus"/>
    <n v="1342"/>
    <s v="Distributor Compensation"/>
    <s v="Distributor compensations: stock write-off on distributor warehouse compensation, promotional activities, distributor motivational programs etc."/>
    <s v="Distributor"/>
    <s v="308018 Trade Allowance Manual Adjustments"/>
    <x v="0"/>
    <s v="341508 Distributor / Wholesaler / Freight allowances - Non-SD"/>
    <s v="Non-SD"/>
    <x v="2"/>
    <m/>
    <n v="1.3"/>
    <n v="1.3"/>
    <n v="0"/>
    <m/>
    <m/>
  </r>
  <r>
    <s v="OK"/>
    <s v="Caucasus"/>
    <n v="1342"/>
    <s v="Discount to distributor"/>
    <s v="Price discounts to the distributor"/>
    <s v="Distributor"/>
    <s v="308010 Trade Allowance"/>
    <x v="0"/>
    <s v="341508 Distributor / Wholesaler / Freight allowances - Non-SD"/>
    <s v="Non-SD"/>
    <x v="2"/>
    <m/>
    <n v="0"/>
    <n v="0"/>
    <n v="0"/>
    <m/>
    <m/>
  </r>
  <r>
    <s v="OK"/>
    <s v="Caucasus"/>
    <n v="1342"/>
    <s v="Retail/KA contracting"/>
    <s v="Contracting fees to the point of sales"/>
    <s v="Retailer"/>
    <s v="502450 BTLTrade/MerchAllowShelfAllowShelfSpaceFee"/>
    <x v="1"/>
    <s v="351400 Retail Allowances"/>
    <s v="N/A"/>
    <x v="0"/>
    <m/>
    <m/>
    <m/>
    <m/>
    <m/>
    <m/>
  </r>
  <r>
    <s v="OK"/>
    <s v="Caucasus"/>
    <n v="1342"/>
    <s v="Distributor Compensation"/>
    <s v="Compensation on current stock to distributor due to retail price reduction"/>
    <s v="Distributor"/>
    <s v="308018 Trade Allowance Manual Adjustments"/>
    <x v="0"/>
    <s v="341108 Consumer allowances - Non-SD"/>
    <s v="Non-SD"/>
    <x v="1"/>
    <m/>
    <n v="0.01"/>
    <n v="0.01"/>
    <n v="0.01"/>
    <m/>
    <m/>
  </r>
  <r>
    <s v="OK"/>
    <s v="Vietnam"/>
    <n v="1799"/>
    <s v="Pricing discount"/>
    <s v="Cash discount and Quantity discount for Wholes sales to reduce end consumer price"/>
    <s v="Wholesaler"/>
    <s v="501605 BTLTradePromTradeDirAppeal PrgmsTradeIncentives"/>
    <x v="1"/>
    <s v="341108 Consumer allowances - Non-SD"/>
    <s v="Non-SD"/>
    <x v="1"/>
    <m/>
    <n v="0.92095566230104797"/>
    <n v="0.92095566230104797"/>
    <n v="0.92095566230104797"/>
    <m/>
    <m/>
  </r>
  <r>
    <s v="OK"/>
    <s v="Vietnam"/>
    <n v="1799"/>
    <s v="Pricing discount"/>
    <s v="Cash payment or gift for retailer to reduce end consumer price"/>
    <s v="Retailer"/>
    <s v="501605 BTLTradePromTradeDirAppeal PrgmsTradeIncentives"/>
    <x v="1"/>
    <s v="341108 Consumer allowances - Non-SD"/>
    <s v="Non-SD"/>
    <x v="1"/>
    <m/>
    <n v="6.0722351360508603E-2"/>
    <n v="6.0722351360508603E-2"/>
    <n v="6.0722351360508603E-2"/>
    <m/>
    <m/>
  </r>
  <r>
    <s v="OK"/>
    <s v="Vietnam"/>
    <n v="1799"/>
    <s v="Pricing discount"/>
    <s v="Gift or voucher to consumer"/>
    <s v="End Consumer"/>
    <s v="501605 BTLTradePromTradeDirAppeal PrgmsTradeIncentives"/>
    <x v="1"/>
    <s v="351400 Retail Allowances"/>
    <s v="N/A"/>
    <x v="0"/>
    <m/>
    <m/>
    <m/>
    <m/>
    <m/>
    <m/>
  </r>
  <r>
    <s v="OK"/>
    <s v="Vietnam"/>
    <n v="1799"/>
    <s v="Listing/visibility fees by Gratis"/>
    <s v="Display fee in Gratis. Paid for in free cigarettes - gross sales value is recorded and so this is 100% discount"/>
    <s v="Retailer"/>
    <s v="501605 BTLTradePromTradeDirAppeal PrgmsTradeIncentives"/>
    <x v="1"/>
    <s v="341408 TITP Allowances - Non-SD"/>
    <s v="Non-SD"/>
    <x v="3"/>
    <m/>
    <n v="0.81347146059697995"/>
    <n v="0.81347146059697995"/>
    <n v="0.81347146059697995"/>
    <m/>
    <m/>
  </r>
  <r>
    <s v="OK"/>
    <s v="Vietnam"/>
    <n v="1799"/>
    <s v="Listing/visibility fees"/>
    <s v="Cash or gift to Retailers to increase product visibility"/>
    <s v="Retailer"/>
    <s v="501605 BTLTradePromTradeDirAppeal PrgmsTradeIncentives"/>
    <x v="1"/>
    <s v="351100 Listing / Slotting / Visibility Fees"/>
    <s v="N/A"/>
    <x v="0"/>
    <m/>
    <m/>
    <m/>
    <m/>
    <m/>
    <m/>
  </r>
  <r>
    <s v="OK"/>
    <s v="Vietnam"/>
    <n v="1799"/>
    <s v="Trading rewards agreement"/>
    <s v="Loyalty programs for wholesales (also sell to end consumer)"/>
    <s v="Wholesaler"/>
    <s v="501605 BTLTradePromTradeDirAppeal PrgmsTradeIncentives"/>
    <x v="1"/>
    <s v="341508 Distributor / Wholesaler / Freight allowances - Non-SD"/>
    <s v="Non-SD"/>
    <x v="2"/>
    <m/>
    <n v="0.2"/>
    <n v="0.2"/>
    <n v="0.2"/>
    <m/>
    <m/>
  </r>
  <r>
    <s v="OK"/>
    <s v="Vietnam"/>
    <n v="1799"/>
    <s v="Trading rewards agreement"/>
    <s v="Loyalty programs for retailers"/>
    <s v="Retailer"/>
    <s v="501605 BTLTradePromTradeDirAppeal PrgmsTradeIncentives"/>
    <x v="1"/>
    <s v="351400 Retail Allowances"/>
    <s v="N/A"/>
    <x v="0"/>
    <m/>
    <m/>
    <m/>
    <m/>
    <m/>
    <m/>
  </r>
  <r>
    <s v="OK"/>
    <s v="Vietnam"/>
    <n v="1799"/>
    <s v="Distributor fee"/>
    <s v="Distributor compensation"/>
    <s v="Distributor"/>
    <s v="307016 Distribution commissions"/>
    <x v="0"/>
    <s v="341508 Distributor / Wholesaler / Freight allowances - Non-SD"/>
    <s v="Non-SD"/>
    <x v="2"/>
    <m/>
    <n v="0.29356590999999999"/>
    <n v="0.29356590999999999"/>
    <n v="0.29356590999999999"/>
    <m/>
    <m/>
  </r>
  <r>
    <s v="OK"/>
    <s v="Iceland"/>
    <n v="1799"/>
    <s v="Distributor fees"/>
    <s v="Fees paid to distributor to maintain field force (salaries, cars, fuel, etc.). "/>
    <s v="Distributor"/>
    <s v="307018 Distribution Commissions Manual Adjustment"/>
    <x v="0"/>
    <s v="341508 Distributor / Wholesaler / Freight allowances - Non-SD"/>
    <s v="Non-SD"/>
    <x v="2"/>
    <m/>
    <n v="0.48799999999999999"/>
    <n v="0.48799999999999999"/>
    <n v="0"/>
    <n v="0.48799999999999999"/>
    <n v="0.48799999999999999"/>
  </r>
  <r>
    <s v="OK"/>
    <s v="Finland"/>
    <n v="1799"/>
    <s v="Listing / Visibility Fees"/>
    <s v="Payment for distributor to cover listing fee paid to the Retailers (mainly R Kiosk) for services to increase brand and/or product visibility"/>
    <s v="Retailer"/>
    <s v="502450 BTLTrade/MerchAllowShelfAllowShelfSpaceFee"/>
    <x v="1"/>
    <s v="351100 Listing / Slotting / Visibility Fees"/>
    <s v="N/A"/>
    <x v="0"/>
    <m/>
    <m/>
    <m/>
    <m/>
    <m/>
    <m/>
  </r>
  <r>
    <s v="OK"/>
    <s v="Finland"/>
    <n v="1799"/>
    <s v="Listing / Visibility Fees"/>
    <s v="Payment to distributor for contracts with Horeca on which we agree to pay a fee in order to have products placed on their shelves."/>
    <s v="Retailer"/>
    <s v="502450 BTLTrade/MerchAllowShelfAllowShelfSpaceFee"/>
    <x v="1"/>
    <s v="351100 Listing / Slotting / Visibility Fees"/>
    <s v="N/A"/>
    <x v="0"/>
    <m/>
    <m/>
    <m/>
    <m/>
    <m/>
    <m/>
  </r>
  <r>
    <s v="OK"/>
    <s v="Finland"/>
    <n v="1799"/>
    <s v="Listing / Visibility Fees"/>
    <s v="Payment to distributor for covering costs of planogram changes in KA"/>
    <s v="Distributor"/>
    <s v="502450 BTLTrade/MerchAllowShelfAllowShelfSpaceFee"/>
    <x v="1"/>
    <s v="351100 Listing / Slotting / Visibility Fees"/>
    <s v="N/A"/>
    <x v="0"/>
    <m/>
    <m/>
    <m/>
    <m/>
    <m/>
    <m/>
  </r>
  <r>
    <s v="OK"/>
    <s v="Finland"/>
    <n v="1799"/>
    <s v="Retail Allowances"/>
    <s v="Trade volume incentive program: volume target based performance program for retailers settled with gift vouchers"/>
    <s v="Retailer"/>
    <s v="502550 BTLTrade/MerchAllowBusDvlp/GrowthIncentVolGrowth"/>
    <x v="1"/>
    <s v="351400 Retail Allowances"/>
    <s v="N/A"/>
    <x v="0"/>
    <m/>
    <m/>
    <m/>
    <m/>
    <m/>
    <m/>
  </r>
  <r>
    <s v="OK"/>
    <s v="Jordan and Palestine"/>
    <n v="1284"/>
    <s v="TITP"/>
    <s v="TITP (included in gross sales, booked through SD)"/>
    <s v="Retailer"/>
    <s v="308020 Trade Incentive Tob Prod Allowance"/>
    <x v="0"/>
    <s v="341400 TITP allowances - SD"/>
    <s v="N/A"/>
    <x v="3"/>
    <n v="4.8"/>
    <m/>
    <m/>
    <m/>
    <m/>
    <m/>
  </r>
  <r>
    <s v="OK"/>
    <s v="Jordan and Palestine"/>
    <n v="1284"/>
    <s v="Marketing Allowances"/>
    <s v="Trade POPMs Placement Fees - PERMANENT"/>
    <s v="Retailer"/>
    <s v="502450 BTLTrade/MerchAllowShelfAllowShelfSpaceFee"/>
    <x v="1"/>
    <s v="351200 Trade POPMs Placement Fees - PERMANENT"/>
    <s v="N/A"/>
    <x v="0"/>
    <m/>
    <m/>
    <m/>
    <m/>
    <n v="0.98"/>
    <n v="0.98"/>
  </r>
  <r>
    <s v="OK"/>
    <s v="Italy"/>
    <n v="1159"/>
    <s v="Marketing"/>
    <s v="&quot;TRADE CONTRACTS&quot;.  Contract with tobacconist and retailer, in wich JTI pays a fee in order to have: : - Strategic assortment - Out of Stock prevention - Planogram implementation - PoS materials placement -ITC acceptance. Trade contracts have been activated several years ago, they work in synergy with Principal's shelves program in order to support JTI Italia commission base. Through a selective PoS clusterization at national level, JTI will further strengthen trade partnership and protect SOV on a strategic panel of PoS, leveraging on “pay for services” approach."/>
    <s v="Retailer"/>
    <s v="502450 BTLTrade/MerchAllowShelfAllowShelfSpaceFee"/>
    <x v="1"/>
    <s v="351400 Retail Allowances"/>
    <s v="N/A"/>
    <x v="0"/>
    <m/>
    <m/>
    <m/>
    <m/>
    <m/>
    <m/>
  </r>
  <r>
    <s v="OK"/>
    <s v="Italy"/>
    <n v="1159"/>
    <s v="Marketing"/>
    <s v="&quot;Leisure TOP POS&quot;. Contract with tobacconist and retailer, in wich JTI pays a fee in order to have: - Strategic assortment - Out of Stock prevention - Planogram implementation - PoS materials placement -ITC acceptance. Trade contracts have been activated several years ago, they work in synergy with Principal's shelves program in order to support JTI Italia commission base. Through a selective PoS clusterization at national level, JTI will further strengthen trade partnership and protect SOV on a strategic panel of PoS, leveraging on “pay for services” approach."/>
    <s v="Retailer"/>
    <s v="502450 BTLTrade/MerchAllowShelfAllowShelfSpaceFee"/>
    <x v="1"/>
    <s v="351400 Retail Allowances"/>
    <s v="N/A"/>
    <x v="0"/>
    <m/>
    <m/>
    <m/>
    <m/>
    <m/>
    <m/>
  </r>
  <r>
    <s v="OK"/>
    <s v="Italy"/>
    <n v="1159"/>
    <s v="Marketing"/>
    <s v="Italy PR Progam 2018 -The framework of the project is aimed at, on one hand, enhancing JTI Partner Stature, leveraging on an appealing and user-friendly web platform for Trade vouchers.  JTI does not purchase goods but gifts vouchers under strict rules to tobacconists. Once the vouchers are redeemed by tobacconists, then the vendor invoice JTI for the nominal value of the coupon. The program is directly sustatined by 1799"/>
    <s v="Retailer"/>
    <s v="501605 BTLTradePromTradeDirAppeal PrgmsTradeIncentives"/>
    <x v="1"/>
    <s v="351400 Retail Allowances"/>
    <s v="N/A"/>
    <x v="0"/>
    <m/>
    <m/>
    <m/>
    <m/>
    <m/>
    <m/>
  </r>
  <r>
    <s v="OK"/>
    <s v="Italy"/>
    <n v="1159"/>
    <s v="Distribution"/>
    <s v="Distribution fees paid to Logista booked through SD"/>
    <s v="Distributor"/>
    <s v="307016 Distribution commissions"/>
    <x v="0"/>
    <s v="341500 Distributor / Wholesaler / Freight allowances - SD"/>
    <s v="SD"/>
    <x v="2"/>
    <n v="50"/>
    <m/>
    <m/>
    <m/>
    <m/>
    <m/>
  </r>
  <r>
    <s v="OK"/>
    <s v="Italy"/>
    <n v="1159"/>
    <s v="Distribution"/>
    <s v="Distribution fees paid to Logista. Manual adjustments"/>
    <s v="Distributor"/>
    <s v="307016 Distribution commissions"/>
    <x v="0"/>
    <s v="341508 Distributor / Wholesaler / Freight allowances - Non-SD"/>
    <s v="Non-SD"/>
    <x v="2"/>
    <m/>
    <n v="0"/>
    <n v="0"/>
    <n v="0"/>
    <m/>
    <m/>
  </r>
  <r>
    <s v="OK"/>
    <s v="Greece"/>
    <n v="1116"/>
    <s v="Retailer fees (contract) GRE"/>
    <s v="Multi year Contractual agreements with Retailers on which we agree to pay a certain fee - in the areas of share of facing and portfolio depth contract with Retailers on which we agree to pay a fee for a certain planogram on JTI or third party back walls._x000a_- Visibility fees, Facings (Payments to retail for share of shelf and location of shelf)_x000a_- Full Variety of the agreed SKUs (Payments to retail for product availability on shelf)_x000a_- Payments to retailers for promotions including promo slots, posters, advertisements, etc, these payments are usually part of the contracts_x000a__x000a_(No Listing Fees and Not KPI related)"/>
    <s v="Retailer"/>
    <s v="502205 BTLTrade/MerchAllowancesPOPMPlacement-PermOutdoor"/>
    <x v="1"/>
    <s v="351100 Listing / Slotting / Visibility Fees"/>
    <s v="N/A"/>
    <x v="0"/>
    <m/>
    <m/>
    <m/>
    <m/>
    <m/>
    <m/>
  </r>
  <r>
    <s v="OK"/>
    <s v="Greece"/>
    <n v="1116"/>
    <s v="Key Accounts fees (contract) GRE"/>
    <s v="Multi year Contractual agreements with Key Accounts on which we agree to pay a certain fee - in the areas of share of facing and portfolio depth contract with Retailers on which we agree to pay a fee for a certain planogram on JTI or third party back walls._x000a_- Visibility fees, Facings (Payments to retail for share of shelf and location of shelf)_x000a_- Full Variety of the agreed SKUs (Payments to retail for product availability on shelf)_x000a_- Payments to retailers for promotions including promo slots, posters, advertisements, etc, these payments are usually part of the contracts_x000a__x000a_(No Listing Fees and Not KPI related)"/>
    <s v="Retailer"/>
    <s v="502205 BTLTrade/MerchAllowancesPOPMPlacement-PermOutdoor"/>
    <x v="1"/>
    <s v="351100 Listing / Slotting / Visibility Fees"/>
    <s v="N/A"/>
    <x v="0"/>
    <m/>
    <m/>
    <m/>
    <m/>
    <m/>
    <m/>
  </r>
  <r>
    <s v="OK"/>
    <s v="Greece"/>
    <n v="1116"/>
    <s v="Wholesale services (personnel) GRE"/>
    <s v="Reward program based on fulfillment of certain conditions by wholesalers' personnel"/>
    <s v="Wholesaler"/>
    <s v="502205 BTLTrade/MerchAllowancesPOPMPlacement-PermOutdoor"/>
    <x v="1"/>
    <s v="341508 Distributor / Wholesaler / Freight allowances - Non-SD"/>
    <s v="Non-SD"/>
    <x v="2"/>
    <m/>
    <n v="0.1"/>
    <n v="0.1"/>
    <n v="0"/>
    <m/>
    <m/>
  </r>
  <r>
    <s v="OK"/>
    <s v="Greece"/>
    <n v="1116"/>
    <s v="Retailer fees (discount to end consumer) GRE"/>
    <s v="Discounts given to retailers to compensate them for selling to consumers at a lower RRP than original sale. Discounts to direct customers as a price contibution. Core relates to all year round price contributions."/>
    <s v="End Consumer"/>
    <s v="502205 BTLTrade/MerchAllowancesPOPMPlacement-PermOutdoor"/>
    <x v="1"/>
    <s v="341108 Consumer allowances - Non-SD"/>
    <s v="Non-SD"/>
    <x v="1"/>
    <m/>
    <n v="0.5"/>
    <n v="0.5"/>
    <n v="0"/>
    <m/>
    <m/>
  </r>
  <r>
    <s v="OK"/>
    <s v="Greece"/>
    <n v="1116"/>
    <s v="Retailer performance incentives and loyalty programs (GRE)"/>
    <s v="Target achievement bonus for retailers, can relate to volumes bonus and compiance with contract bonus (eg, no Out of Stock, SKU variety, maintained shelf space %, etc). Volume target based performance program for retailers settled with gift vouchers, accessories  or tobacco free goods, (required to be identified separately for tax purposes)."/>
    <s v="Retailer"/>
    <s v="502205 BTLTrade/MerchAllowancesPOPMPlacement-PermOutdoor"/>
    <x v="1"/>
    <s v="351400 Retail Allowances"/>
    <s v="N/A"/>
    <x v="0"/>
    <m/>
    <m/>
    <m/>
    <m/>
    <m/>
    <m/>
  </r>
  <r>
    <s v="OK"/>
    <s v="Greece"/>
    <n v="1116"/>
    <s v="Wholesaler performance incentives (push volume programs) GRE"/>
    <s v="Target achievement bonus for wholesalers, can relate to volumes bonus and compiance with contract bonus (eg, no Out of Stock, SKU variety, maintained shelf space %, etc). Volume target based performance program for retailers settled with gift vouchers, accessories  or tobacco free goods, (required to be identified separately for tax purposes)."/>
    <s v="Wholesaler"/>
    <s v="502205 BTLTrade/MerchAllowancesPOPMPlacement-PermOutdoor"/>
    <x v="1"/>
    <s v="341508 Distributor / Wholesaler / Freight allowances - Non-SD"/>
    <s v="Non-SD"/>
    <x v="2"/>
    <m/>
    <n v="1"/>
    <n v="1"/>
    <n v="0"/>
    <m/>
    <m/>
  </r>
  <r>
    <s v="OK"/>
    <s v="Greece"/>
    <n v="1799"/>
    <s v="Retailer Rental fees for Shelf space, visibility and listing (CYMA)"/>
    <s v="Listing or slotting allowance/fee is the amount charged by and paid to the Retailers for services to increase brand and/or product visibility as per agreements such as: -_x000a__x000a_- Creating or maintaining space for a product on its store shelves_x000a_- Creating or maintaining space for the product in its warehouse_x000a_- Entering or maintaining the product data in retailer's systems including programming computers to recognise the product's bar code(s)_x000a_- Specific shelf positions_x000a_- Planograms_x000a_- Backwalls_x000a_- Exclusivity fees_x000a_- Vending fees"/>
    <s v="Retailer"/>
    <s v="502450 BTLTrade/MerchAllowShelfAllowShelfSpaceFee"/>
    <x v="1"/>
    <s v="351100 Listing / Slotting / Visibility Fees"/>
    <s v="N/A"/>
    <x v="0"/>
    <m/>
    <m/>
    <m/>
    <m/>
    <m/>
    <m/>
  </r>
  <r>
    <s v="OK"/>
    <s v="Greece"/>
    <n v="1799"/>
    <s v="Distributor KPIs for volume incentives (CYMA)"/>
    <s v="Deductions given by JTI to our Distributor / Wholesaler that are booked through SD. These are incentives paid to wholesale/distributor related to building volumes, achieving certain levels of sales"/>
    <s v="Distributor"/>
    <s v="501605 BTLTradePromTradeDirAppeal PrgmsTradeIncentives"/>
    <x v="1"/>
    <s v="341508 Distributor / Wholesaler / Freight allowances - Non-SD"/>
    <s v="Non-SD"/>
    <x v="2"/>
    <m/>
    <n v="0.4"/>
    <n v="0.4"/>
    <n v="0"/>
    <m/>
    <m/>
  </r>
  <r>
    <s v="OK"/>
    <s v="Greece"/>
    <n v="1799"/>
    <s v="Retailer POPM placement fees (CYMA)"/>
    <s v="Fees paid to a Retailer to allow JTI to place POPM materials in and outside of shops on a TEMPORARY basis. This should be separated from the cost of producing and installing materials which should be accounted for as a marketing expense. Temporary should be understood as less than 12 months."/>
    <s v="Retailer"/>
    <s v="501605 BTLTradePromTradeDirAppeal PrgmsTradeIncentives"/>
    <x v="1"/>
    <s v="351300 Trade POPMs Placement Fees - TEMPORARY"/>
    <s v="N/A"/>
    <x v="0"/>
    <m/>
    <m/>
    <m/>
    <m/>
    <m/>
    <m/>
  </r>
  <r>
    <s v="OK"/>
    <s v="Greece"/>
    <n v="1799"/>
    <s v="Retailers, Key Accounts fees for Volume performance incentives (CY)"/>
    <s v="Contracts with Retailers and Key accounts (Airports), for volume performance incentives based on specific targets."/>
    <s v="Retailer"/>
    <s v="502450 BTLTrade/MerchAllowShelfAllowShelfSpaceFee"/>
    <x v="1"/>
    <s v="351400 Retail Allowances"/>
    <s v="N/A"/>
    <x v="0"/>
    <m/>
    <m/>
    <m/>
    <m/>
    <m/>
    <m/>
  </r>
  <r>
    <s v="OK"/>
    <s v="Greece"/>
    <n v="1799"/>
    <s v="Retailer price discounts on specific purchased quantity (CYMA)"/>
    <s v="Volume incentives to Retailers with price promotional price discount (buy x outers get .. Packs free), with specific targets and time."/>
    <s v="Retailer"/>
    <s v="501605 BTLTradePromTradeDirAppeal PrgmsTradeIncentives"/>
    <x v="1"/>
    <s v="351400 Retail Allowances"/>
    <s v="N/A"/>
    <x v="0"/>
    <m/>
    <m/>
    <m/>
    <m/>
    <m/>
    <m/>
  </r>
  <r>
    <s v="OK"/>
    <s v="Greece"/>
    <n v="1799"/>
    <s v="Wholesaler price discounts on specific purchased quantity (MLT)"/>
    <s v="Volume incentives to Wholesale with price promotional price discount (buy x outers get .. Packs free), with specific targets and time."/>
    <s v="Wholesaler"/>
    <s v="501605 BTLTradePromTradeDirAppeal PrgmsTradeIncentives"/>
    <x v="1"/>
    <s v="341508 Distributor / Wholesaler / Freight allowances - Non-SD"/>
    <s v="Non-SD"/>
    <x v="2"/>
    <m/>
    <n v="0.5"/>
    <n v="0.5"/>
    <n v="0"/>
    <m/>
    <m/>
  </r>
  <r>
    <s v="OK"/>
    <s v="Greece"/>
    <n v="1799"/>
    <s v="Distributor Price Discounts or Rebates (CYMA)"/>
    <s v="Deductions given by JTI to our Distributor / Wholesaler that are booked through SD. These are incentives paid to wholesale/distributor related to guarantee a certain level of profit especially after tax or price change which was affects distributor inventory. Discounts are usually offered on a short-term or promotional basis. "/>
    <s v="Distributor"/>
    <s v="501605 BTLTradePromTradeDirAppeal PrgmsTradeIncentives"/>
    <x v="1"/>
    <s v="341508 Distributor / Wholesaler / Freight allowances - Non-SD"/>
    <s v="Non-SD"/>
    <x v="2"/>
    <m/>
    <n v="0.1"/>
    <n v="0.1"/>
    <n v="0"/>
    <m/>
    <m/>
  </r>
  <r>
    <s v="OK"/>
    <s v="Austria"/>
    <n v="2301"/>
    <s v="Leisure Trade Allowance"/>
    <s v="Horeca and event listing fees"/>
    <s v="Retailer"/>
    <s v="502455 BTLTrade/MerchAllowShelfAllowDistributionMaintFee"/>
    <x v="1"/>
    <s v="351100 Listing / Slotting / Visibility Fees"/>
    <s v="N/A"/>
    <x v="0"/>
    <m/>
    <m/>
    <m/>
    <m/>
    <n v="1.292134831460674"/>
    <n v="1.292134831460674"/>
  </r>
  <r>
    <s v="OK"/>
    <s v="Austria"/>
    <n v="2301"/>
    <s v="TME"/>
    <s v="ongoing external third party maintenance of field force IT-system including daily TM routing optimization"/>
    <s v="Retailer"/>
    <s v="502455 BTLTrade/MerchAllowShelfAllowDistributionMaintFee"/>
    <x v="1"/>
    <m/>
    <s v="N/A"/>
    <x v="0"/>
    <m/>
    <m/>
    <m/>
    <m/>
    <n v="2.247191011235955E-2"/>
    <n v="2.247191011235955E-2"/>
  </r>
  <r>
    <s v="OK"/>
    <s v="Austria"/>
    <n v="2301"/>
    <s v="Vending Advertising"/>
    <s v="Front Panel Advertising Fee"/>
    <s v="Distributor"/>
    <s v="502465 BTLTrade/MerchAllowShelfAllowVendingvisibilityfee"/>
    <x v="1"/>
    <s v="351200 Trade POPMs Placement Fees - PERMANENT"/>
    <s v="N/A"/>
    <x v="0"/>
    <m/>
    <m/>
    <m/>
    <m/>
    <n v="1.77213483146067"/>
    <n v="1.77213483146067"/>
  </r>
  <r>
    <s v="OK"/>
    <s v="Austria"/>
    <n v="2301"/>
    <s v="Vending Advertising"/>
    <s v="Telemetry data fee"/>
    <s v="Distributor"/>
    <s v="502465 BTLTrade/MerchAllowShelfAllowVendingvisibilityfee"/>
    <x v="1"/>
    <s v="351500 Sales/Marketing Information Systems"/>
    <s v="N/A"/>
    <x v="0"/>
    <m/>
    <m/>
    <m/>
    <m/>
    <n v="0.02"/>
    <n v="0.02"/>
  </r>
  <r>
    <s v="OK"/>
    <s v="Austria"/>
    <n v="2301"/>
    <s v="RLP"/>
    <s v="Vouchers (Cash equivalent) for retailers monthly planogram implementation performance "/>
    <s v="Retailer"/>
    <s v="502455 BTLTrade/MerchAllowShelfAllowDistributionMaintFee"/>
    <x v="1"/>
    <s v="351100 Listing / Slotting / Visibility Fees"/>
    <s v="N/A"/>
    <x v="0"/>
    <m/>
    <m/>
    <m/>
    <m/>
    <n v="0.35617977528089884"/>
    <n v="0.35617977528089884"/>
  </r>
  <r>
    <s v="OK"/>
    <s v="Austria"/>
    <n v="2301"/>
    <s v="Logistics"/>
    <s v="Infoservice &amp; Lottomail-Trade communication of new brand launches, product changes, LEPs and de-listings to all 5.600 trade partners = tobacconist"/>
    <s v="Retailer"/>
    <s v="502455 BTLTrade/MerchAllowShelfAllowDistributionMaintFee"/>
    <x v="1"/>
    <s v="351500 Sales/Marketing Information Systems"/>
    <s v="N/A"/>
    <x v="0"/>
    <m/>
    <m/>
    <m/>
    <m/>
    <n v="4.49438202247191E-2"/>
    <n v="4.49438202247191E-2"/>
  </r>
  <r>
    <s v="OK"/>
    <s v="Austria"/>
    <n v="2301"/>
    <s v="Merch. fixed Contracts JTI"/>
    <s v="placement of POSM;planograms;implementation of shelf system"/>
    <s v="Retailer"/>
    <s v="502450 BTLTrade/MerchAllowShelfAllowShelfSpaceFee"/>
    <x v="1"/>
    <s v="351100 Listing / Slotting / Visibility Fees"/>
    <s v="N/A"/>
    <x v="0"/>
    <m/>
    <m/>
    <m/>
    <m/>
    <n v="1.3493096292134896"/>
    <n v="1.3493096292134896"/>
  </r>
  <r>
    <s v="OK"/>
    <s v="Austria"/>
    <n v="2301"/>
    <s v="Key Account"/>
    <s v="Key Account Listing fees"/>
    <s v="Retailer"/>
    <s v="502455 BTLTrade/MerchAllowShelfAllowDistributionMaintFee"/>
    <x v="1"/>
    <s v="351100 Listing / Slotting / Visibility Fees"/>
    <s v="N/A"/>
    <x v="0"/>
    <m/>
    <m/>
    <m/>
    <m/>
    <n v="0.84269662921348321"/>
    <n v="0.84269662921348321"/>
  </r>
  <r>
    <s v="OK"/>
    <s v="Thailand"/>
    <n v="1270"/>
    <s v="Distribution Fee"/>
    <s v="Distribution fee pay to Key account customer through SD. "/>
    <s v="Retailer"/>
    <s v="307010 Freight Allowance"/>
    <x v="0"/>
    <s v="341500 Distributor / Wholesaler / Freight allowances - SD"/>
    <s v="SD"/>
    <x v="2"/>
    <n v="2"/>
    <m/>
    <m/>
    <m/>
    <n v="2"/>
    <n v="2"/>
  </r>
  <r>
    <s v="OK"/>
    <s v="Thailand"/>
    <n v="1270"/>
    <s v="Trade Allowance"/>
    <s v="Discount or Incentive paid to Key account customer through SD. "/>
    <s v="Retailer"/>
    <s v="308010 Trade Allowance"/>
    <x v="0"/>
    <s v="351400 Retail Allowances"/>
    <s v="N/A"/>
    <x v="0"/>
    <m/>
    <m/>
    <m/>
    <m/>
    <n v="3.6"/>
    <n v="3.6"/>
  </r>
  <r>
    <s v="OK"/>
    <s v="Thailand"/>
    <n v="1270"/>
    <s v="Trade reward agreement"/>
    <s v="Incentive paid to a retailer as a reward for meeting certain performance criteria or discount according to agreement i.e. monthly rebate, annual rebate"/>
    <s v="Retailer"/>
    <s v="308011 Trade Allowance booked outside SD"/>
    <x v="0"/>
    <s v="351400 Retail Allowances"/>
    <s v="N/A"/>
    <x v="0"/>
    <m/>
    <m/>
    <m/>
    <m/>
    <n v="1.5"/>
    <n v="1.5"/>
  </r>
  <r>
    <s v="OK"/>
    <s v="Thailand"/>
    <n v="1270"/>
    <s v="Stock management/Visibility fee"/>
    <s v="Incentive paid to a retailer to secure shelf space. "/>
    <s v="Retailer"/>
    <s v="308011 Trade Allowance booked outside SD"/>
    <x v="0"/>
    <s v="351100 Listing / Slotting / Visibility Fees"/>
    <s v="N/A"/>
    <x v="0"/>
    <m/>
    <m/>
    <m/>
    <m/>
    <n v="2.77"/>
    <n v="2.77"/>
  </r>
  <r>
    <s v="OK"/>
    <s v="Thailand"/>
    <n v="1270"/>
    <s v="Wholesaler/Distributor discount"/>
    <s v="Discount to wholesaler. _x000a_It's Non-SD process due to Thailand is direct model and use TME to invoice for DSO model. Then perform monthly posting for TME information."/>
    <s v="Wholesaler"/>
    <s v="308018 Trade Allowance Manual Adjustments"/>
    <x v="0"/>
    <s v="341508 Distributor / Wholesaler / Freight allowances - Non-SD"/>
    <s v="Non-SD"/>
    <x v="2"/>
    <m/>
    <n v="0.4"/>
    <n v="0.4"/>
    <n v="0"/>
    <n v="0.4"/>
    <n v="0.4"/>
  </r>
  <r>
    <s v="OK"/>
    <s v="Thailand"/>
    <n v="1270"/>
    <s v="Trade Program"/>
    <s v="Trade program to retailer. _x000a_Non-SD process by manual posting information from TME to SAP on monthly basis. "/>
    <s v="Retailer"/>
    <s v="308018 Trade Allowance Manual Adjustments"/>
    <x v="0"/>
    <s v="351400 Retail Allowances"/>
    <s v="N/A"/>
    <x v="0"/>
    <m/>
    <m/>
    <m/>
    <m/>
    <n v="0.7"/>
    <n v="0.7"/>
  </r>
  <r>
    <s v="OK"/>
    <s v="Thailand"/>
    <n v="1270"/>
    <s v="Non-return Payment"/>
    <s v="Non-return payment paid to Direct Key account customer"/>
    <s v="Retailer"/>
    <s v="309010 Spoiled / Damaged Allowance"/>
    <x v="2"/>
    <s v="341300 Sales/Returns allowances - SD"/>
    <s v="SD"/>
    <x v="3"/>
    <n v="0.01"/>
    <m/>
    <m/>
    <m/>
    <n v="0.01"/>
    <n v="0.01"/>
  </r>
  <r>
    <s v="OK"/>
    <s v="Thailand"/>
    <n v="1270"/>
    <s v="Data sharing fee"/>
    <s v="Data sharing paid to direct key account customer "/>
    <s v="Retailer"/>
    <s v="502010 BTLSalesInformationPurchasePOPDataPOPDataPurchas"/>
    <x v="1"/>
    <s v="351500 Sales/Marketing Information Systems"/>
    <s v="N/A"/>
    <x v="0"/>
    <m/>
    <m/>
    <m/>
    <m/>
    <n v="0.02"/>
    <n v="0.02"/>
  </r>
  <r>
    <s v="OK"/>
    <s v="Thailand"/>
    <n v="1270"/>
    <s v="Visibility fee/lisitng fee"/>
    <s v="New Store Opening fee pay to Key account customer (CVS or chain customer)"/>
    <s v="Retailer"/>
    <s v="502450 BTLTrade/MerchAllowShelfAllowShelfSpaceFee"/>
    <x v="1"/>
    <s v="351100 Listing / Slotting / Visibility Fees"/>
    <s v="N/A"/>
    <x v="0"/>
    <m/>
    <m/>
    <m/>
    <m/>
    <n v="2.1999999999999999E-2"/>
    <n v="2.1999999999999999E-2"/>
  </r>
  <r>
    <s v="OK"/>
    <s v="Thailand"/>
    <n v="1270"/>
    <s v="Visibility fee/lisitng fee"/>
    <s v="New Product listing fee"/>
    <s v="Retailer"/>
    <s v="502570 BTLTradMerchAllowBusDvlGrowthIncentNewIntroListFee"/>
    <x v="1"/>
    <s v="351100 Listing / Slotting / Visibility Fees"/>
    <s v="N/A"/>
    <x v="0"/>
    <m/>
    <m/>
    <m/>
    <m/>
    <n v="0.2"/>
    <n v="0.2"/>
  </r>
  <r>
    <s v="OK"/>
    <s v="South, East &amp; Central Africa"/>
    <n v="1229"/>
    <s v="TITP"/>
    <s v="Revenue reduction TITP offset to amount recorded in gross sales related to free goods, booked through SD"/>
    <s v="Retailer"/>
    <s v="501605 BTLTradePromTradeDirAppeal PrgmsTradeIncentives"/>
    <x v="1"/>
    <s v="341408 TITP Allowances - Non-SD"/>
    <s v="Non-SD"/>
    <x v="3"/>
    <m/>
    <n v="0.4"/>
    <n v="0.4"/>
    <n v="0"/>
    <n v="0.4"/>
    <n v="0.4"/>
  </r>
  <r>
    <s v="OK"/>
    <s v="South, East &amp; Central Africa"/>
    <n v="1229"/>
    <s v="Vending fees"/>
    <s v="Credits passed to ensure that Vending machine list product at RRP."/>
    <s v="Other"/>
    <s v="501605 BTLTradePromTradeDirAppeal PrgmsTradeIncentives"/>
    <x v="1"/>
    <s v="351100 Listing / Slotting / Visibility Fees"/>
    <s v="N/A"/>
    <x v="0"/>
    <m/>
    <m/>
    <m/>
    <m/>
    <m/>
    <m/>
  </r>
  <r>
    <s v="OK"/>
    <s v="South, East &amp; Central Africa"/>
    <n v="1229"/>
    <s v="Trade information program in Key Account "/>
    <s v="Payment to retailers for information provided to consumers regarding JTI products, that supports product visibility. Direct contracts with Key Accounts for Trade Information program"/>
    <s v="Retailer"/>
    <s v="501605 BTLTradePromTradeDirAppeal PrgmsTradeIncentives"/>
    <x v="1"/>
    <s v="351100 Listing / Slotting / Visibility Fees"/>
    <s v="N/A"/>
    <x v="0"/>
    <m/>
    <m/>
    <m/>
    <m/>
    <m/>
    <m/>
  </r>
  <r>
    <s v="OK"/>
    <s v="South, East &amp; Central Africa"/>
    <n v="1229"/>
    <s v="Fees paid to Key Accounts to allow SPIC to be in POSs."/>
    <s v="Fees paid to Key Accounts to allow JTI to provide shop information to customers (SPIC)"/>
    <s v="Retailer"/>
    <s v="501605 BTLTradePromTradeDirAppeal PrgmsTradeIncentives"/>
    <x v="1"/>
    <s v="351100 Listing / Slotting / Visibility Fees"/>
    <s v="N/A"/>
    <x v="0"/>
    <m/>
    <m/>
    <m/>
    <m/>
    <m/>
    <m/>
  </r>
  <r>
    <s v="OK"/>
    <s v="South, East &amp; Central Africa"/>
    <n v="1229"/>
    <s v="Key Account Fees"/>
    <s v="Agreements with Key Accounts (Gas Stations, Airports and major supply chains) to list JTI SKUs and allocate and certain share of facings and branding activities to JT products"/>
    <s v="Retailer"/>
    <s v="501605 BTLTradePromTradeDirAppeal PrgmsTradeIncentives"/>
    <x v="1"/>
    <s v="351100 Listing / Slotting / Visibility Fees"/>
    <s v="N/A"/>
    <x v="0"/>
    <m/>
    <m/>
    <m/>
    <m/>
    <m/>
    <m/>
  </r>
  <r>
    <s v="OK"/>
    <s v="South, East &amp; Central Africa"/>
    <n v="1229"/>
    <s v="Sales Operations: Bonus (Distributor)"/>
    <s v="Target achievement bonus for distributors, can relate to volumes bonus and compiance with contract bonus (eg, no Out of Stock, SKU variety, maintained shelf space %, etc)"/>
    <s v="Distributor"/>
    <s v="307015 Distribution allowance"/>
    <x v="0"/>
    <s v="341508 Distributor / Wholesaler / Freight allowances - Non-SD"/>
    <s v="Non-SD"/>
    <x v="2"/>
    <m/>
    <n v="3.5339999999999998"/>
    <n v="3.5339999999999998"/>
    <n v="0"/>
    <m/>
    <m/>
  </r>
  <r>
    <s v="OK"/>
    <s v="South, East &amp; Central Africa"/>
    <n v="1229"/>
    <s v="Distributor fees"/>
    <s v="Fees paid to distributors to perform selling activities. They are usually $/Mstick and contractually agreed. This includes all the payments to distributors with the aim of maintaining a pre-defined margin "/>
    <s v="Distributor"/>
    <s v="308010 Trade Allowance"/>
    <x v="0"/>
    <s v="341500 Distributor / Wholesaler / Freight allowances - SD"/>
    <s v="SD"/>
    <x v="2"/>
    <n v="5.2759999999999998"/>
    <m/>
    <m/>
    <m/>
    <m/>
    <m/>
  </r>
  <r>
    <s v="OK"/>
    <s v="South, East &amp; Central Africa"/>
    <n v="1229"/>
    <s v="Temporary price reductions"/>
    <s v="Temporary price reductions given to retailers in exchange for reducing the end consumer selling price, booked through SD"/>
    <s v="Retailer"/>
    <s v="307015 Distribution allowance"/>
    <x v="0"/>
    <s v="341108 Consumer allowances - Non-SD"/>
    <s v="Non-SD"/>
    <x v="1"/>
    <m/>
    <n v="0.3"/>
    <n v="0.3"/>
    <n v="0"/>
    <m/>
    <m/>
  </r>
  <r>
    <s v="OK"/>
    <s v="South, East &amp; Central Africa"/>
    <n v="1229"/>
    <s v="Cash Discounts"/>
    <s v="Cash discounts offered to strategic grocery partners (1% off invoice), contractually agreed."/>
    <s v="Retailer"/>
    <s v="307015 Distribution allowance"/>
    <x v="0"/>
    <s v="341208 Payment allowances - Non-SD"/>
    <s v="Non-SD"/>
    <x v="1"/>
    <m/>
    <n v="0.30399999999999999"/>
    <n v="0.30399999999999999"/>
    <n v="0"/>
    <m/>
    <m/>
  </r>
  <r>
    <s v="OK"/>
    <s v="South, East &amp; Central Africa"/>
    <n v="1229"/>
    <s v="Pricing Corrections"/>
    <s v="Regularizations of customer accounts in case of price differences between customer purchase order and JTI system (i.e. delayed information of price changes to customer, price maintenance error in JTI system)."/>
    <s v="Wholesaler"/>
    <s v="307015 Distribution allowance"/>
    <x v="0"/>
    <s v="341308 Sales/Returns allowances - Non-SD"/>
    <s v="Non-SD"/>
    <x v="3"/>
    <m/>
    <n v="0.01"/>
    <n v="0.01"/>
    <n v="0"/>
    <m/>
    <m/>
  </r>
  <r>
    <s v="OK"/>
    <s v="South, East &amp; Central Africa"/>
    <n v="1199"/>
    <s v="Distributor fees"/>
    <s v="Fees paid to the Distributor based on a pre-agreed (contractually) value per M applied to all shipments from JTI to the Distributor.  The aim of maintaining a pre-defined margin, distributing JTI product to wholesalers. This is done manually &quot;off invoice&quot;.non-SD."/>
    <s v="Distributor"/>
    <s v="307015 Distribution allowance"/>
    <x v="0"/>
    <s v="341508 Distributor / Wholesaler / Freight allowances - Non-SD"/>
    <s v="Non-SD"/>
    <x v="2"/>
    <m/>
    <n v="0.63400000000000001"/>
    <n v="0.63400000000000001"/>
    <n v="0"/>
    <n v="0.63400000000000001"/>
    <n v="0.63400000000000001"/>
  </r>
  <r>
    <s v="OK"/>
    <s v="South, East &amp; Central Africa"/>
    <n v="1199"/>
    <s v="Distributor fees"/>
    <s v="Fees paid to the Distributor based on a pre-agreed (contractually) value per M applied to all shipments from the Distributor to wholesalers (based on IMS).  This is done manually &quot;off invoice&quot;.non-SD."/>
    <s v="Distributor"/>
    <s v="307015 Distribution allowance"/>
    <x v="0"/>
    <s v="341508 Distributor / Wholesaler / Freight allowances - Non-SD"/>
    <s v="Non-SD"/>
    <x v="2"/>
    <m/>
    <n v="0.63400000000000001"/>
    <n v="0.63400000000000001"/>
    <n v="0"/>
    <n v="0.63400000000000001"/>
    <n v="0.63400000000000001"/>
  </r>
  <r>
    <s v="OK"/>
    <s v="South, East &amp; Central Africa"/>
    <n v="1199"/>
    <s v="Distributor fees"/>
    <s v="Fees paid to the Distributor based on a pre-agreed (contractually) value per M applied to all shipments from JTI to the Distributor.  This Distributor needs to provide certain information as agreed with JTI.  This includes client lists, sales performance nationally, channels and regions in which they operated."/>
    <s v="Distributor"/>
    <s v="307015 Distribution allowance"/>
    <x v="0"/>
    <s v="341508 Distributor / Wholesaler / Freight allowances - Non-SD"/>
    <s v="Non-SD"/>
    <x v="2"/>
    <m/>
    <n v="0.127"/>
    <n v="0.127"/>
    <n v="0"/>
    <n v="0.127"/>
    <n v="0.127"/>
  </r>
  <r>
    <s v="OK"/>
    <s v="South, East &amp; Central Africa"/>
    <n v="1328"/>
    <s v="Distributor fees"/>
    <s v="Fees paid to distributors to perform selling activities, enlist new wholesalers and accounts in areas where our products are not yet listed. This is based on a $/M fee and contractually agreed.  Handled outside of SD."/>
    <s v="Distributor"/>
    <s v="307015 Distribution allowance"/>
    <x v="0"/>
    <s v="341508 Distributor / Wholesaler / Freight allowances - Non-SD"/>
    <s v="Non-SD"/>
    <x v="2"/>
    <m/>
    <n v="0.46700000000000003"/>
    <n v="0.46700000000000003"/>
    <n v="0"/>
    <n v="0.46700000000000003"/>
    <n v="0.46700000000000003"/>
  </r>
  <r>
    <s v="OK"/>
    <s v="South, East &amp; Central Africa"/>
    <n v="1199"/>
    <s v="Trade loyalty programs"/>
    <s v="Credits processed to Distributor's account to compensate them for the landed cost of FG's provided to wholesalers as part of volume target based trade reward programs. "/>
    <s v="Wholesaler"/>
    <s v="502550 BTLTrade/MerchAllowBusDvlp/GrowthIncentVolGrowth"/>
    <x v="1"/>
    <s v="341508 Distributor / Wholesaler / Freight allowances - Non-SD"/>
    <s v="Non-SD"/>
    <x v="2"/>
    <m/>
    <n v="0.42099999999999999"/>
    <n v="0.42099999999999999"/>
    <n v="0"/>
    <n v="0.42099999999999999"/>
    <n v="0.42099999999999999"/>
  </r>
  <r>
    <s v="OK"/>
    <s v="South, East &amp; Central Africa"/>
    <n v="1199"/>
    <s v="Trade BS development"/>
    <s v="Credits processed to Distributor's account to compensate them for the landed cost of FG's used to place stock in new outlets and provide to new recruits/accounts. "/>
    <s v="Wholesaler"/>
    <s v="502555 BTLTrade/MerchAllowBusDvlp/GrowthIncentDistrGains"/>
    <x v="1"/>
    <s v="341508 Distributor / Wholesaler / Freight allowances - Non-SD"/>
    <s v="Non-SD"/>
    <x v="2"/>
    <m/>
    <n v="0.11899999999999999"/>
    <n v="0.11899999999999999"/>
    <n v="0"/>
    <n v="0.11899999999999999"/>
    <n v="0.11899999999999999"/>
  </r>
  <r>
    <s v="OK"/>
    <s v="South, East &amp; Central Africa"/>
    <n v="1199"/>
    <s v="Trade shows/workshops"/>
    <s v="Refunds/Credit to Distributor's account to refund them for costs relating to the hosting of wholesaler/retailer workshops in order to introduce JTI and it's brands and/or new introductions.  The costs could include venue hire, catering, etc."/>
    <s v="Retailer"/>
    <s v="501605 BTLTradePromTradeDirAppeal PrgmsTradeIncentives"/>
    <x v="1"/>
    <s v="341508 Distributor / Wholesaler / Freight allowances - Non-SD"/>
    <s v="Non-SD"/>
    <x v="2"/>
    <m/>
    <n v="4.4999999999999998E-2"/>
    <n v="4.4999999999999998E-2"/>
    <n v="0"/>
    <n v="4.4999999999999998E-2"/>
    <n v="4.4999999999999998E-2"/>
  </r>
  <r>
    <s v="OK"/>
    <s v="South, East &amp; Central Africa"/>
    <n v="1328"/>
    <s v="Trade BS development"/>
    <s v="Credits processed to Distributor's account to compensate them for the landed cost of FG's used in JTI promos to wholesalers (e.g. buy 2 get one carton free) in order to achieve a certain margin down the line and also a predetermined price to the consumer. "/>
    <s v="Wholesaler"/>
    <s v="502555 BTLTrade/MerchAllowBusDvlp/GrowthIncentDistrGains"/>
    <x v="1"/>
    <s v="341508 Distributor / Wholesaler / Freight allowances - Non-SD"/>
    <s v="Non-SD"/>
    <x v="2"/>
    <m/>
    <n v="0.04"/>
    <n v="0.04"/>
    <n v="0"/>
    <n v="0.04"/>
    <n v="0.04"/>
  </r>
  <r>
    <s v="OK"/>
    <s v="South, East &amp; Central Africa"/>
    <n v="1199"/>
    <s v="Distributor fees"/>
    <s v="Fees paid to distributors to perform selling activities, enlist new wholesalers and accounts in areas where our products are not yet listed. This is based on a $/M fee and contractually agreed.  Handled outside of SD."/>
    <s v="Distributor"/>
    <s v="307015 Distribution allowance"/>
    <x v="0"/>
    <s v="341508 Distributor / Wholesaler / Freight allowances - Non-SD"/>
    <s v="Non-SD"/>
    <x v="2"/>
    <m/>
    <n v="9.9000000000000005E-2"/>
    <n v="9.9000000000000005E-2"/>
    <n v="0"/>
    <n v="9.9000000000000005E-2"/>
    <n v="9.9000000000000005E-2"/>
  </r>
  <r>
    <s v="OK"/>
    <s v="South, East &amp; Central Africa"/>
    <n v="1199"/>
    <s v="Trade BS development"/>
    <s v="Credits processed to Distributor's account to compensate them for the landed cost of FG's used in JTI promos to wholesalers (e.g. buy 2 get one carton free) in order to achieve a certain margin down the line and also a predetermined price to the consumer. "/>
    <s v="Wholesaler"/>
    <s v="502555 BTLTrade/MerchAllowBusDvlp/GrowthIncentDistrGains"/>
    <x v="1"/>
    <s v="341508 Distributor / Wholesaler / Freight allowances - Non-SD"/>
    <s v="Non-SD"/>
    <x v="2"/>
    <m/>
    <n v="0.1"/>
    <n v="0.1"/>
    <n v="0"/>
    <n v="0.1"/>
    <n v="0.1"/>
  </r>
  <r>
    <s v="OK"/>
    <s v="South, East &amp; Central Africa"/>
    <n v="1799"/>
    <s v="Trade BS development"/>
    <s v="Credits processed to Distributor's account to compensate them for the landed cost of FG's used in JTI promos to wholesalers (e.g. buy 2 get one carton free) in order to achieve a certain margin down the line and also a predetermined price to the consumer. "/>
    <s v="Wholesaler"/>
    <s v="502555 BTLTrade/MerchAllowBusDvlp/GrowthIncentDistrGains"/>
    <x v="1"/>
    <s v="341508 Distributor / Wholesaler / Freight allowances - Non-SD"/>
    <s v="Non-SD"/>
    <x v="2"/>
    <m/>
    <n v="0.08"/>
    <n v="0.08"/>
    <n v="0"/>
    <n v="0.08"/>
    <n v="0.08"/>
  </r>
  <r>
    <s v="OK"/>
    <s v="South, East &amp; Central Africa"/>
    <n v="1799"/>
    <s v="Trade loyalty programs"/>
    <s v="Credits processed to Distributor's account to compensate them for the landed cost of FG's provided to wholesalers as part of volume target based trade reward programs. "/>
    <s v="Wholesaler"/>
    <s v="502550 BTLTrade/MerchAllowBusDvlp/GrowthIncentVolGrowth"/>
    <x v="1"/>
    <s v="341508 Distributor / Wholesaler / Freight allowances - Non-SD"/>
    <s v="Non-SD"/>
    <x v="2"/>
    <m/>
    <n v="0.11000000000000001"/>
    <n v="0.11000000000000001"/>
    <n v="0"/>
    <n v="0.11000000000000001"/>
    <n v="0.11000000000000001"/>
  </r>
  <r>
    <s v="OK"/>
    <s v="South, East &amp; Central Africa"/>
    <n v="1799"/>
    <s v="Trade loyalty programs"/>
    <s v="Credits processed to Distributor's account to compensate them for the landed cost of FG's provided to wholesalers as part of volume target based trade reward programs. "/>
    <s v="Wholesaler"/>
    <s v="502550 BTLTrade/MerchAllowBusDvlp/GrowthIncentVolGrowth"/>
    <x v="1"/>
    <s v="341508 Distributor / Wholesaler / Freight allowances - Non-SD"/>
    <s v="Non-SD"/>
    <x v="2"/>
    <m/>
    <n v="3.95E-2"/>
    <n v="3.95E-2"/>
    <n v="0"/>
    <n v="3.95E-2"/>
    <n v="3.95E-2"/>
  </r>
  <r>
    <s v="OK"/>
    <s v="Baltics"/>
    <n v="1364"/>
    <s v="Retail Allowances"/>
    <s v="Volume target based performance program for retailers settled with gift vouchers (required to be identified separately for tax purposes)"/>
    <s v="Retailer"/>
    <s v="502550 BTLTrade/MerchAllowBusDvlp/GrowthIncentVolGrowth"/>
    <x v="1"/>
    <s v="351400 Retail Allowances"/>
    <s v="N/A"/>
    <x v="0"/>
    <m/>
    <m/>
    <m/>
    <m/>
    <m/>
    <m/>
  </r>
  <r>
    <s v="OK"/>
    <s v="Baltics"/>
    <n v="1364"/>
    <s v="POPM Placement Fees - PERMANENT"/>
    <s v="Payments to retailers for promotions including promo slots, posters, advertisements, etc, these payments are usually part of the contracts _PERMANENT"/>
    <s v="Retailer"/>
    <s v="502450 BTLTrade/MerchAllowShelfAllowShelfSpaceFee"/>
    <x v="1"/>
    <s v="351200 Trade POPMs Placement Fees - PERMANENT"/>
    <s v="N/A"/>
    <x v="0"/>
    <m/>
    <m/>
    <m/>
    <m/>
    <m/>
    <m/>
  </r>
  <r>
    <s v="OK"/>
    <s v="Baltics"/>
    <n v="1799"/>
    <s v="Distributor fees"/>
    <s v="Quarterly distributor performance based bonus"/>
    <s v="Distributor"/>
    <s v="307018 Distribution Commissions Manual Adjustment"/>
    <x v="0"/>
    <s v="341508 Distributor / Wholesaler / Freight allowances - Non-SD"/>
    <s v="Non-SD"/>
    <x v="2"/>
    <m/>
    <n v="0.99199999999999999"/>
    <n v="0.99199999999999999"/>
    <n v="0"/>
    <n v="0.99199999999999999"/>
    <n v="0.99199999999999999"/>
  </r>
  <r>
    <s v="OK"/>
    <s v="Baltics"/>
    <n v="1799"/>
    <s v="Distributor fees"/>
    <s v="Fee for merchandising service"/>
    <s v="Distributor"/>
    <s v="307018 Distribution Commissions Manual Adjustment"/>
    <x v="0"/>
    <s v="341508 Distributor / Wholesaler / Freight allowances - Non-SD"/>
    <s v="Non-SD"/>
    <x v="2"/>
    <m/>
    <n v="1.3425740001123594"/>
    <n v="1.3425740001123594"/>
    <n v="0"/>
    <n v="1.3425740001123594"/>
    <n v="1.3425740001123594"/>
  </r>
  <r>
    <s v="OK"/>
    <s v="Baltics"/>
    <n v="1799"/>
    <s v="Key Account Logistics Fee"/>
    <s v="Fee paid to key accounts related to logistics (compensated through distributor)"/>
    <s v="Retailer"/>
    <s v="307018 Distribution Commissions Manual Adjustment"/>
    <x v="0"/>
    <s v="341508 Distributor / Wholesaler / Freight allowances - Non-SD"/>
    <s v="Non-SD"/>
    <x v="2"/>
    <m/>
    <n v="1.1837645569617974"/>
    <n v="1.1837645569617974"/>
    <n v="0"/>
    <n v="1.1837645569617974"/>
    <n v="1.1837645569617974"/>
  </r>
  <r>
    <s v="OK"/>
    <s v="Baltics"/>
    <n v="1799"/>
    <s v="Distribution project realization reward"/>
    <s v="Bonuses to trade, drive team (field force motivation), stock compensation, etc"/>
    <s v="Distributor"/>
    <s v="307018 Distribution Commissions Manual Adjustment"/>
    <x v="0"/>
    <s v="341508 Distributor / Wholesaler / Freight allowances - Non-SD"/>
    <s v="Non-SD"/>
    <x v="2"/>
    <m/>
    <n v="9.0823449438202239E-2"/>
    <n v="9.0823449438202239E-2"/>
    <n v="0"/>
    <n v="9.0823449438202239E-2"/>
    <n v="9.0823449438202239E-2"/>
  </r>
  <r>
    <s v="OK"/>
    <s v="Baltics"/>
    <n v="1799"/>
    <s v="Trade margin compensation"/>
    <s v="Compensation payment to distributor to provide retailer (KA) who is buying from them with a higher than usual margin"/>
    <s v="Retailer"/>
    <s v="307018 Distribution Commissions Manual Adjustment"/>
    <x v="0"/>
    <s v="351400 Retail Allowances"/>
    <s v="N/A"/>
    <x v="0"/>
    <m/>
    <m/>
    <m/>
    <m/>
    <m/>
    <n v="1"/>
  </r>
  <r>
    <s v="OK"/>
    <s v="Baltics"/>
    <n v="1799"/>
    <s v="Slotting / listing fees / Visibility fees"/>
    <s v="Contracts with Key accounts, Retailers on which we agree to pay a fee in order to have products placed on their shelves. This could include exact information on the visibility or could be an entry fee to list our products. The main purpose of the contracts is to increase number of SKUs and JTI volume."/>
    <s v="Retailer"/>
    <s v="502450 BTLTrade/MerchAllowShelfAllowShelfSpaceFee"/>
    <x v="1"/>
    <s v="351100 Listing / Slotting / Visibility Fees"/>
    <s v="N/A"/>
    <x v="0"/>
    <m/>
    <m/>
    <m/>
    <m/>
    <m/>
    <m/>
  </r>
  <r>
    <s v="OK"/>
    <s v="Baltics"/>
    <n v="1799"/>
    <s v="Bonus (Retailer)"/>
    <s v="Target achievement bonus for retailers relate to volumes bonus "/>
    <s v="Retailer"/>
    <s v="502500 BTLTrade/MerchAllowInStoreAllowDispl/POPMLocatnFee"/>
    <x v="1"/>
    <s v="351400 Retail Allowances"/>
    <s v="N/A"/>
    <x v="0"/>
    <m/>
    <m/>
    <m/>
    <m/>
    <m/>
    <m/>
  </r>
  <r>
    <s v="OK"/>
    <s v="Baltics"/>
    <n v="1799"/>
    <s v="Consumer Allowances"/>
    <s v="Discounts given to Retailers (invoiced through distributor) with the intention to reduce End Consumer selling price on sale of products (tactical, promo or technical price discounting)"/>
    <s v="End Consumer"/>
    <s v="310018 Consumer Allowance Manual Adjustment"/>
    <x v="0"/>
    <s v="341108 Consumer allowances - Non-SD"/>
    <s v="Non-SD"/>
    <x v="1"/>
    <m/>
    <n v="4.4363590344427006"/>
    <n v="4.4363590344427006"/>
    <n v="4.4363590344427006"/>
    <n v="4.4363590344427006"/>
    <n v="4.4363590344427006"/>
  </r>
  <r>
    <s v="OK"/>
    <s v="Iberia"/>
    <n v="1799"/>
    <s v="Distributor Fees"/>
    <s v="Logista ( the distributor) buys JTI product and distributes them from warehouses to the Tobacconist. JTI invoices to Logista the invoice price reducing distribution fee. Contractually agreed."/>
    <s v="Distributor"/>
    <s v="307016 Distribution commissions"/>
    <x v="0"/>
    <s v="341508 Distributor / Wholesaler / Freight allowances - Non-SD"/>
    <s v="Non-SD"/>
    <x v="2"/>
    <m/>
    <n v="29.18388182"/>
    <n v="29.18388182"/>
    <n v="29.18388182"/>
    <s v="Logista"/>
    <s v="Logista"/>
  </r>
  <r>
    <s v="OK"/>
    <s v="Iberia"/>
    <n v="1216"/>
    <s v="Prompt Payment Discount"/>
    <s v="Cash discount given for prompt payment"/>
    <s v="Retailer"/>
    <s v="306010 Cash Discount"/>
    <x v="2"/>
    <s v="341200 Payment allowances - SD"/>
    <s v="SD"/>
    <x v="1"/>
    <n v="0.44305725842696631"/>
    <m/>
    <m/>
    <m/>
    <n v="0.44305725842696631"/>
    <n v="0.44305725842696631"/>
  </r>
  <r>
    <s v="OK"/>
    <s v="Iberia"/>
    <n v="1216"/>
    <s v="Prompt Payment Discount"/>
    <s v="Cash discount given for prompt payment"/>
    <s v="Wholesaler"/>
    <s v="306010 Cash Discount"/>
    <x v="2"/>
    <s v="341200 Payment allowances - SD"/>
    <s v="SD"/>
    <x v="1"/>
    <n v="0.36250139325842701"/>
    <m/>
    <m/>
    <m/>
    <n v="0.36250139325842701"/>
    <n v="0.36250139325842701"/>
  </r>
  <r>
    <s v="OK"/>
    <s v="Iberia"/>
    <n v="1216"/>
    <s v="Consumer Allowances – SD / Distributor / Wholesaler / Freight Allowances – SD"/>
    <s v="Trade Allowances for promotions as temporary price reductions and discounts for customer typology"/>
    <s v="Retailer"/>
    <s v="308010 Trade Allowance"/>
    <x v="0"/>
    <s v="341100 Consumer allowances - SD"/>
    <s v="SD"/>
    <x v="1"/>
    <n v="4.2700207065992792"/>
    <m/>
    <m/>
    <m/>
    <n v="4.2700207065992792"/>
    <n v="4.2700207065992792"/>
  </r>
  <r>
    <s v="OK"/>
    <s v="Iberia"/>
    <n v="1216"/>
    <s v="Consumer Allowances – SD / Distributor / Wholesaler / Freight Allowances – SD"/>
    <s v="Trade Allowances for promotions as temporary price reductions and discounts for customer typology"/>
    <s v="Wholesaler"/>
    <s v="308010 Trade Allowance"/>
    <x v="0"/>
    <s v="341100 Consumer allowances - SD"/>
    <s v="SD"/>
    <x v="1"/>
    <n v="4.5677315076466014"/>
    <m/>
    <m/>
    <m/>
    <n v="4.5677315076466014"/>
    <n v="4.5677315076466014"/>
  </r>
  <r>
    <s v="OK"/>
    <s v="Iberia"/>
    <n v="1216"/>
    <s v="TITP Allowances – SD"/>
    <s v="Trade Incentive Tobacco Product Allowance"/>
    <s v="Retailer"/>
    <s v="308020 Trade Incentive Tob Prod Allowance"/>
    <x v="0"/>
    <s v="341400 TITP allowances - SD"/>
    <s v="SD"/>
    <x v="3"/>
    <n v="2.6687172556978993"/>
    <m/>
    <m/>
    <m/>
    <n v="2.6687172556978993"/>
    <n v="2.6687172556978993"/>
  </r>
  <r>
    <s v="OK"/>
    <s v="Iberia"/>
    <n v="1216"/>
    <s v="TITP Allowances – SD"/>
    <s v="Trade Incentive Tobacco Product Allowance"/>
    <s v="Wholesaler"/>
    <s v="308020 Trade Incentive Tob Prod Allowance"/>
    <x v="0"/>
    <s v="341400 TITP allowances - SD"/>
    <s v="SD"/>
    <x v="3"/>
    <n v="2.487837509513807"/>
    <m/>
    <m/>
    <m/>
    <n v="2.487837509513807"/>
    <n v="2.487837509513807"/>
  </r>
  <r>
    <s v="OK"/>
    <s v="Iberia"/>
    <n v="1216"/>
    <s v="Pricing Corrections"/>
    <s v="Discount adjustment for price differences"/>
    <s v="Retailer"/>
    <s v="313010 Discount adjustments account"/>
    <x v="2"/>
    <s v="341308 Sales/Returns allowances - Non-SD"/>
    <s v="Non-SD"/>
    <x v="3"/>
    <m/>
    <n v="0.3278588764044944"/>
    <n v="0.32785887640449402"/>
    <n v="0.32785887640449402"/>
    <n v="0.3278588764044944"/>
    <n v="0.3278588764044944"/>
  </r>
  <r>
    <s v="OK"/>
    <s v="Iberia"/>
    <n v="1216"/>
    <s v="Pricing Corrections"/>
    <s v="Discount adjustment for price differences"/>
    <s v="Wholesaler"/>
    <s v="313010 Discount adjustments account"/>
    <x v="2"/>
    <s v="341308 Sales/Returns allowances - Non-SD"/>
    <s v="Non-SD"/>
    <x v="3"/>
    <m/>
    <n v="8.7152359550561762E-2"/>
    <n v="8.7152359550561803E-2"/>
    <n v="8.7152359550561803E-2"/>
    <n v="8.7152359550561762E-2"/>
    <n v="8.7152359550561762E-2"/>
  </r>
  <r>
    <s v="OK"/>
    <s v="Iberia"/>
    <n v="1216"/>
    <s v="Commercial Agreements"/>
    <s v="Trade discounts given to retailer or wholesaler for commercial agreements relating to reaching objectives of certain level of JTI stock rotation or sales volumes"/>
    <s v="Wholesaler"/>
    <s v="313012 Trade discount adj for CO-PA COEL12"/>
    <x v="0"/>
    <s v="341508 Distributor / Wholesaler / Freight allowances - Non-SD"/>
    <s v="Non-SD"/>
    <x v="2"/>
    <m/>
    <n v="2"/>
    <n v="2"/>
    <n v="2"/>
    <n v="2"/>
    <n v="2"/>
  </r>
  <r>
    <s v="OK"/>
    <s v="Iberia"/>
    <n v="1216"/>
    <s v="Commercial Agreements"/>
    <s v="Trade discounts given to retailer or wholesaler for commercial agreements relating to reaching objectives of certain level of JTI stock rotation or sales volumes"/>
    <s v="Retailer"/>
    <s v="313012 Trade discount adj for CO-PA COEL12"/>
    <x v="0"/>
    <s v="341508 Distributor / Wholesaler / Freight allowances - Non-SD"/>
    <s v="Non-SD"/>
    <x v="2"/>
    <m/>
    <n v="0.04"/>
    <n v="0.04"/>
    <n v="0.04"/>
    <n v="0.04"/>
    <n v="0.04"/>
  </r>
  <r>
    <s v="OK"/>
    <s v="Iberia"/>
    <n v="1216"/>
    <s v="Commercial Agreements"/>
    <s v="Trade discounts given to retailer or wholesaler for commercial agreements relating to reaching objectives of certain level of JTI stock rotation or sales volumes"/>
    <s v="Retailer"/>
    <s v="502460 BTLTrade/MerchAllowShelfAllowVendingColListingFee"/>
    <x v="1"/>
    <s v="351100 Listing / Slotting / Visibility Fees"/>
    <s v="N/A"/>
    <x v="0"/>
    <m/>
    <m/>
    <m/>
    <m/>
    <n v="0.21123595505617979"/>
    <n v="0.21123595505617979"/>
  </r>
  <r>
    <s v="OK"/>
    <s v="Iberia"/>
    <n v="1216"/>
    <s v="Vending Agreements"/>
    <s v="Visibility agreements with clients and vending machine operators. As part of the vending machine agreements with the operators JTI pays on behalf of them the maintenance of the machines. This includes:_x000a__x000a_- Fees paid in cash to clients for visibility services, the payment of these fees allows JTI to have a specific planogram, space and install furnitures or vending machines in those spaces_x000a_- The Vending Machine maintenance fee is an allowance to the operators because is an expense absorbed by JTI_x000a_- Cost of the furnitures installed in the shops (furnitures and vending machines are not under POPM definition)"/>
    <s v="Retailer"/>
    <s v="502450 BTLTrade/MerchAllowShelfAllowShelfSpaceFee"/>
    <x v="1"/>
    <s v="351100 Listing / Slotting / Visibility Fees"/>
    <s v="N/A"/>
    <x v="0"/>
    <m/>
    <m/>
    <m/>
    <m/>
    <n v="0.28202247191011237"/>
    <n v="0.28202247191011237"/>
  </r>
  <r>
    <s v="OK"/>
    <s v="Iberia"/>
    <n v="1216"/>
    <s v="Vending Agreements"/>
    <s v="Visibility agreements with clients and vending machine operators. As part of the vending machine agreements with the operators JTI pays on behalf of them the maintenance of the machines. This includes:_x000a__x000a_- Fees paid in cash to clients for visibility services, the payment of these fees allows JTI to have a specific planogram, space and install furnitures or vending machines in those spaces_x000a_- The Vending Machine maintenance fee is an allowance to the operators because is an expense absorbed by JTI_x000a_- Cost of the furnitures installed in the shops (furnitures and vending machines are not under POPM definition)"/>
    <s v="Retailer"/>
    <s v="502465 BTLTrade/MerchAllowShelfAllowVendingvisibilityfee"/>
    <x v="1"/>
    <s v="351100 Listing / Slotting / Visibility Fees"/>
    <s v="N/A"/>
    <x v="0"/>
    <m/>
    <m/>
    <m/>
    <m/>
    <n v="0.12921348314606743"/>
    <n v="0.12921348314606743"/>
  </r>
  <r>
    <s v="OK"/>
    <s v="Iberia"/>
    <n v="1216"/>
    <s v="Vending Agreements"/>
    <s v="Visibility agreements with clients and vending machine operators. As part of the vending machine agreements with the operators JTI pays on behalf of them the maintenance of the machines. This includes:_x000a__x000a_- Fees paid in cash to clients for visibility services, the payment of these fees allows JTI to have a specific planogram, space and install furnitures or vending machines in those spaces_x000a_- The Vending Machine maintenance fee is an allowance to the operators because is an expense absorbed by JTI_x000a_- Cost of the furnitures installed in the shops (furnitures and vending machines are not under POPM definition)"/>
    <s v="Retailer"/>
    <s v="502505 BTLTrade/MerchAllowInStoreAllowPlanogramsfee"/>
    <x v="1"/>
    <s v="351100 Listing / Slotting / Visibility Fees"/>
    <s v="N/A"/>
    <x v="0"/>
    <m/>
    <m/>
    <m/>
    <m/>
    <n v="0.3820224719101124"/>
    <n v="0.3820224719101124"/>
  </r>
  <r>
    <s v="OK"/>
    <s v="Iberia"/>
    <n v="1216"/>
    <s v="Vending Agreements"/>
    <s v="Visibility agreements with clients and vending machine operators. As part of the vending machine agreements with the operators JTI pays on behalf of them the maintenance of the machines. This includes:_x000a__x000a_- Fees paid in cash to clients for visibility services, the payment of these fees allows JTI to have a specific planogram, space and install furnitures or vending machines in those spaces_x000a_- The Vending Machine maintenance fee is an allowance to the operators because is an expense absorbed by JTI_x000a_- Cost of the furnitures installed in the shops (furnitures and vending machines are not under POPM definition)"/>
    <s v="Retailer"/>
    <s v="502500 BTLTrade/MerchAllowInStoreAllowDispl/POPMLocatnFee"/>
    <x v="1"/>
    <s v="351100 Listing / Slotting / Visibility Fees"/>
    <s v="N/A"/>
    <x v="0"/>
    <m/>
    <m/>
    <m/>
    <m/>
    <n v="3.6168539325842692"/>
    <n v="3.6168539325842692"/>
  </r>
  <r>
    <s v="OK"/>
    <s v="Iberia"/>
    <n v="1216"/>
    <s v="Vending Agreements"/>
    <s v="Visibility agreements with clients and vending machine operators. As part of the vending machine agreements with the operators JTI pays on behalf of them the maintenance of the machines. This includes:_x000a__x000a_- Fees paid in cash to clients for visibility services, the payment of these fees allows JTI to have a specific planogram, space and install furnitures or vending machines in those spaces_x000a_- The Vending Machine maintenance fee is an allowance to the operators because is an expense absorbed by JTI_x000a_- Cost of the furnitures installed in the shops (furnitures and vending machines are not under POPM definition)"/>
    <s v="Retailer"/>
    <s v="502200 BTLTrade/MerchAllowancesPOPMPlacement-PermIndoor"/>
    <x v="1"/>
    <s v="351100 Listing / Slotting / Visibility Fees"/>
    <s v="N/A"/>
    <x v="0"/>
    <m/>
    <m/>
    <m/>
    <m/>
    <n v="0.45168539325842699"/>
    <n v="0.45168539325842699"/>
  </r>
  <r>
    <s v="OK"/>
    <s v="Iberia"/>
    <n v="1799"/>
    <s v="Distributor Compensation"/>
    <s v="Portugal has a forestaling practice. JTI SA finances Logista for the excise tax paid in advance for the FG introducing into consumption ealier then their normal operation. Logista charges JTI SA the warehousing cost and ocasionally charges interest when they finance the forestaling operation."/>
    <s v="Distributor"/>
    <s v="307015 Distribution allowance"/>
    <x v="0"/>
    <s v="341508 Distributor / Wholesaler / Freight allowances - Non-SD"/>
    <s v="Non-SD"/>
    <x v="2"/>
    <m/>
    <n v="0.29251100000000002"/>
    <n v="0.29251100000000002"/>
    <n v="0.29251100000000002"/>
    <s v="Logista"/>
    <s v="Logista"/>
  </r>
  <r>
    <s v="OK"/>
    <s v="Iberia"/>
    <n v="1799"/>
    <s v="Distributor Fees"/>
    <s v="Logista ( the distributor)  buys JTI product and distributes them from warehouses to the Tobacconist. JTI invoices to Logista the invoice price reducing distribution fee. Contractually agreed."/>
    <s v="Distributor"/>
    <s v="307016 Distribution commissions"/>
    <x v="0"/>
    <s v="341500 Distributor / Wholesaler / Freight allowances - SD"/>
    <s v="SD"/>
    <x v="2"/>
    <n v="2.5811712400000002"/>
    <m/>
    <m/>
    <m/>
    <s v="Logista"/>
    <s v="Logista"/>
  </r>
  <r>
    <s v="OK"/>
    <s v="Iberia"/>
    <n v="1799"/>
    <s v="Distributor Fees"/>
    <s v="Logista ( the distributor)  buys JTI product and distributes them from warehouses to the Tobacconist. JTI invoices to Logista the invoice price reducing distribution fee. Contractually agreed."/>
    <s v="Distributor"/>
    <s v="307018 Distribution Commissions Manual Adjustment"/>
    <x v="0"/>
    <s v="341508 Distributor / Wholesaler / Freight allowances - Non-SD"/>
    <s v="Non-SD"/>
    <x v="2"/>
    <m/>
    <n v="9.9999999999999998E-13"/>
    <n v="9.9999999999999998E-13"/>
    <n v="9.9999999999999998E-13"/>
    <s v="Logista"/>
    <s v="Logista"/>
  </r>
  <r>
    <s v="OK"/>
    <s v="Iberia"/>
    <n v="2156"/>
    <s v="Loyalty Programs"/>
    <s v="Loyalty program focused in pay for performance considering the following KPIs: Volume, portfolio depth and growth (No contract). "/>
    <s v="Wholesaler"/>
    <s v="501605 BTLTradePromTradeDirAppeal PrgmsTradeIncentives"/>
    <x v="1"/>
    <s v="341508 Distributor / Wholesaler / Freight allowances - Non-SD"/>
    <s v="Non-SD"/>
    <x v="2"/>
    <m/>
    <n v="0.78651685393258419"/>
    <n v="0.78651685393258419"/>
    <n v="0"/>
    <s v="Wholesaler"/>
    <s v="Wholesaler"/>
  </r>
  <r>
    <s v="OK"/>
    <s v="Iberia"/>
    <n v="2156"/>
    <s v="Distribution Agreement"/>
    <s v="Distribution Agreements based volume increase (contractually agreed)."/>
    <s v="Wholesaler"/>
    <s v="501605 BTLTradePromTradeDirAppeal PrgmsTradeIncentives"/>
    <x v="1"/>
    <s v="341508 Distributor / Wholesaler / Freight allowances - Non-SD"/>
    <s v="Non-SD"/>
    <x v="2"/>
    <m/>
    <n v="0.6741573033707865"/>
    <n v="0.6741573033707865"/>
    <n v="0"/>
    <s v="Wholesaler"/>
    <s v="Wholesaler"/>
  </r>
  <r>
    <s v="OK"/>
    <s v="Iberia"/>
    <n v="2156"/>
    <s v="Sales Information"/>
    <s v="Agreements with key accounts on which they agree to provide us a set data of consumer and sales information."/>
    <s v="Wholesaler"/>
    <s v="501605 BTLTradePromTradeDirAppeal PrgmsTradeIncentives"/>
    <x v="1"/>
    <s v="351500 Sales/Marketing Information Systems"/>
    <s v="N/A"/>
    <x v="0"/>
    <m/>
    <m/>
    <m/>
    <m/>
    <s v="Wholesaler"/>
    <s v="Wholesaler"/>
  </r>
  <r>
    <s v="OK"/>
    <s v="Iberia"/>
    <n v="2156"/>
    <s v="KA Fees"/>
    <s v="Agreements with key accounts on which they agree to provide us a set data of consumer and sales information"/>
    <s v="Retailer"/>
    <s v="502010 BTLSalesInformationPurchasePOPDataPOPDataPurchas"/>
    <x v="1"/>
    <s v="351500 Sales/Marketing Information Systems"/>
    <s v="N/A"/>
    <x v="0"/>
    <m/>
    <m/>
    <m/>
    <m/>
    <s v="KA"/>
    <s v="KA"/>
  </r>
  <r>
    <s v="OK"/>
    <s v="Iberia"/>
    <n v="2156"/>
    <s v="KA Fees"/>
    <s v="Agreements with key accounts on which they agree to list JTI SKUs, agree to a certain share of facings and branding activities when they occur"/>
    <s v="Retailer"/>
    <s v="502450 BTLTrade/MerchAllowShelfAllowShelfSpaceFee"/>
    <x v="1"/>
    <s v="351100 Listing / Slotting / Visibility Fees"/>
    <s v="N/A"/>
    <x v="0"/>
    <m/>
    <m/>
    <m/>
    <m/>
    <s v="KA"/>
    <s v="KA"/>
  </r>
  <r>
    <s v="OK"/>
    <s v="Iberia"/>
    <n v="2156"/>
    <s v="KA Fees"/>
    <s v="Agreements with key accounts on which they agree to list JTI SKUs, agree to a certain share of facings and branding activities when they occur"/>
    <s v="Retailer"/>
    <s v="502455 BTLTrade/MerchAllowShelfAllowDistributionMaintFee"/>
    <x v="1"/>
    <s v="351100 Listing / Slotting / Visibility Fees"/>
    <s v="N/A"/>
    <x v="0"/>
    <m/>
    <m/>
    <m/>
    <m/>
    <s v="KA"/>
    <s v="KA"/>
  </r>
  <r>
    <s v="OK"/>
    <s v="Iberia"/>
    <n v="2156"/>
    <s v="Vending Fees"/>
    <s v="Vending Contracts with VM Owners securing a pre-agreed number of slots. Contracts are annual or multi-year agreements."/>
    <s v="Retailer"/>
    <s v="502460 BTLTrade/MerchAllowShelfAllowVendingColListingFee"/>
    <x v="1"/>
    <s v="351100 Listing / Slotting / Visibility Fees"/>
    <s v="N/A"/>
    <x v="0"/>
    <m/>
    <m/>
    <m/>
    <m/>
    <s v="Wholesaler"/>
    <s v="Wholesaler"/>
  </r>
  <r>
    <s v="OK"/>
    <s v="Iberia"/>
    <n v="2156"/>
    <s v="Visibility Fees"/>
    <s v="Share of facing and portfolio depth contracts with Retailers on which we agree to pay a fee for a certain planogram on JTI or third party back walls. Contracts are annual or multi-year agreements."/>
    <s v="Retailer"/>
    <s v="502505 BTLTrade/MerchAllowInStoreAllowPlanogramsfee"/>
    <x v="1"/>
    <s v="351100 Listing / Slotting / Visibility Fees"/>
    <s v="N/A"/>
    <x v="0"/>
    <m/>
    <m/>
    <m/>
    <m/>
    <s v="Retailer"/>
    <s v="Retailer"/>
  </r>
  <r>
    <s v="OK"/>
    <s v="Iberia"/>
    <n v="2156"/>
    <s v="Volume growth Fees"/>
    <s v="Contracts that covers for a pre-agreed volume growth/SOM. Also includes tactical deals on new launches and certain SKU with the objective to give visibility or increase volume."/>
    <s v="Wholesaler"/>
    <s v="502550 BTLTrade/MerchAllowBusDvlp/GrowthIncentVolGrowth"/>
    <x v="1"/>
    <s v="341508 Distributor / Wholesaler / Freight allowances - Non-SD"/>
    <s v="Non-SD"/>
    <x v="2"/>
    <m/>
    <n v="2.2471910112359553E-3"/>
    <n v="2.2471910112359553E-3"/>
    <n v="0"/>
    <s v="Wholesaler"/>
    <s v="Wholesaler"/>
  </r>
  <r>
    <s v="OK"/>
    <s v="Iberia"/>
    <n v="2156"/>
    <s v="Volume growth Fees"/>
    <s v="Contracts that covers for a pre-agreed volume growth/SOM. Also includes tactical deals on new launches and certain SKU with the objective to give visibility or increase volume."/>
    <s v="Retailer"/>
    <s v="502550 BTLTrade/MerchAllowBusDvlp/GrowthIncentVolGrowth"/>
    <x v="1"/>
    <s v="351400 Retail Allowances"/>
    <s v="N/A"/>
    <x v="0"/>
    <m/>
    <m/>
    <m/>
    <m/>
    <s v="Retailer"/>
    <s v="Retailer"/>
  </r>
  <r>
    <s v="OK"/>
    <s v="Duty Free Markets"/>
    <s v="1799"/>
    <s v="307015   Distrib. allowance"/>
    <s v="Distribution fee (delivery costs - warehousing) to distributor"/>
    <s v="Distributor"/>
    <s v="307015 Distribution allowance"/>
    <x v="0"/>
    <s v="341508 Distributor / Wholesaler / Freight allowances - Non-SD"/>
    <s v="Non-SD"/>
    <x v="2"/>
    <m/>
    <n v="0.40897268999999992"/>
    <n v="0.40897268999999992"/>
    <n v="0"/>
    <s v="Yes"/>
    <s v="Yes"/>
  </r>
  <r>
    <s v="OK"/>
    <s v="Duty Free Markets"/>
    <s v="2101"/>
    <s v="307015   Distrib. allowance"/>
    <s v="Distribution fee (delivery costs - warehousing) to distributor"/>
    <s v="Distributor"/>
    <s v="307015 Distribution allowance"/>
    <x v="0"/>
    <s v="341508 Distributor / Wholesaler / Freight allowances - Non-SD"/>
    <s v="Non-SD"/>
    <x v="2"/>
    <m/>
    <n v="0.18416525000000003"/>
    <n v="0.18416525000000003"/>
    <n v="0"/>
    <s v="Yes"/>
    <s v="Yes"/>
  </r>
  <r>
    <s v="OK"/>
    <s v="Duty Free Markets"/>
    <s v="1799"/>
    <s v="307018   Dist Comm Man Adj"/>
    <s v="Distribution fee (delivery costs - warehousing) to distributor"/>
    <s v="Distributor"/>
    <s v="307018 Distribution Commissions Manual Adjustment"/>
    <x v="0"/>
    <s v="341508 Distributor / Wholesaler / Freight allowances - Non-SD"/>
    <s v="Non-SD"/>
    <x v="2"/>
    <m/>
    <n v="1.3198333699999998"/>
    <n v="1.3198333699999998"/>
    <n v="0"/>
    <s v="Yes"/>
    <s v="Yes"/>
  </r>
  <r>
    <s v="OK"/>
    <s v="Duty Free Markets"/>
    <s v="2300"/>
    <s v="307018   Dist Comm Man Adj"/>
    <s v="Distribution fee (delivery costs - warehousing) to distributor"/>
    <s v="Distributor"/>
    <s v="307018 Distribution Commissions Manual Adjustment"/>
    <x v="0"/>
    <s v="341508 Distributor / Wholesaler / Freight allowances - Non-SD"/>
    <s v="Non-SD"/>
    <x v="2"/>
    <m/>
    <n v="1.2473350000000001E-2"/>
    <n v="1.2473350000000001E-2"/>
    <n v="0"/>
    <s v="Yes"/>
    <s v="Yes"/>
  </r>
  <r>
    <s v="OK"/>
    <s v="Duty Free Markets"/>
    <s v="1275"/>
    <s v="308010 Trade Allowance"/>
    <s v="Multipacks discount"/>
    <s v="Distributor"/>
    <s v="308010 Trade Allowance"/>
    <x v="0"/>
    <s v="341500 Distributor / Wholesaler / Freight allowances - SD"/>
    <s v="SD"/>
    <x v="2"/>
    <n v="0.153"/>
    <m/>
    <m/>
    <m/>
    <s v="Yes"/>
    <s v="Yes"/>
  </r>
  <r>
    <s v="OK"/>
    <s v="Duty Free Markets"/>
    <s v="1799"/>
    <s v="308010 Trade Allowance"/>
    <s v="Cash discount"/>
    <s v="Distributor"/>
    <s v="308010 Trade Allowance"/>
    <x v="0"/>
    <s v="341200 Payment allowances - SD"/>
    <s v="SD"/>
    <x v="1"/>
    <n v="0.66854567000000154"/>
    <m/>
    <m/>
    <m/>
    <s v="Yes"/>
    <s v="Yes"/>
  </r>
  <r>
    <s v="OK"/>
    <s v="Duty Free Markets"/>
    <s v="1799"/>
    <s v="308070   Cust /Dist Bank Fees"/>
    <s v="Bank garantee (credit line security) cost sharing"/>
    <s v="Distributor"/>
    <s v="308070 Customer / Distributor Bank Fees"/>
    <x v="0"/>
    <s v="341508 Distributor / Wholesaler / Freight allowances - Non-SD"/>
    <s v="Non-SD"/>
    <x v="2"/>
    <m/>
    <n v="5.3716379999999994E-2"/>
    <n v="0"/>
    <n v="0"/>
    <s v="Yes"/>
    <s v="Yes"/>
  </r>
  <r>
    <s v="OK"/>
    <s v="Duty Free Markets"/>
    <n v="1275"/>
    <s v="307018   Dist Comm Man Adj"/>
    <s v="Distribution fee (delivery costs - warehousing) to distributor"/>
    <s v="Distributor"/>
    <s v="307018 Distribution Commissions Manual Adjustment"/>
    <x v="0"/>
    <s v="341508 Distributor / Wholesaler / Freight allowances - Non-SD"/>
    <s v="Non-SD"/>
    <x v="2"/>
    <m/>
    <n v="0.2"/>
    <n v="0.2"/>
    <n v="0"/>
    <s v="Yes"/>
    <s v="Yes"/>
  </r>
  <r>
    <s v="OK"/>
    <s v="Duty Free Markets"/>
    <n v="1799"/>
    <s v="308018 Trade Allowances ManA"/>
    <s v="Errors in postings in 2017, now corrected"/>
    <s v="Other"/>
    <s v="308018 Trade Allowance Manual Adjustments"/>
    <x v="0"/>
    <s v="341508 Distributor / Wholesaler / Freight allowances - Non-SD"/>
    <s v="Non-SD"/>
    <x v="2"/>
    <m/>
    <n v="0.12454696000000001"/>
    <n v="0.12454696000000001"/>
    <n v="0"/>
    <s v="Yes"/>
    <s v="Yes"/>
  </r>
  <r>
    <s v="OK"/>
    <s v="Duty Free Markets"/>
    <n v="1275"/>
    <s v="308011 Trade Allowances SD"/>
    <s v="Errors in postings in 2017, now corrected"/>
    <s v="Other"/>
    <s v="308011 Trade Allowance booked outside SD"/>
    <x v="0"/>
    <s v="341508 Distributor / Wholesaler / Freight allowances - Non-SD"/>
    <s v="Non-SD"/>
    <x v="2"/>
    <m/>
    <n v="0.15728"/>
    <n v="0.15728"/>
    <n v="0"/>
    <s v="Yes"/>
    <s v="Yes"/>
  </r>
  <r>
    <s v="OK"/>
    <s v="Duty Free Markets"/>
    <n v="1277"/>
    <s v="Trd incentives"/>
    <s v="Volume target incentives"/>
    <s v="Retailer"/>
    <s v="501605 BTLTradePromTradeDirAppeal PrgmsTradeIncentives"/>
    <x v="1"/>
    <s v="351400 Retail Allowances"/>
    <s v="N/A"/>
    <x v="0"/>
    <m/>
    <m/>
    <m/>
    <m/>
    <s v="Yes"/>
    <s v="Yes"/>
  </r>
  <r>
    <s v="OK"/>
    <s v="Duty Free Markets"/>
    <n v="1277"/>
    <s v="SlsPOP Data Customer"/>
    <s v="Sales statistics from retailer"/>
    <s v="Retailer"/>
    <s v="502010 BTLSalesInformationPurchasePOPDataPOPDataPurchas"/>
    <x v="1"/>
    <s v="351500 Sales/Marketing Information Systems"/>
    <s v="N/A"/>
    <x v="0"/>
    <m/>
    <m/>
    <m/>
    <m/>
    <s v="Yes"/>
    <s v="Yes"/>
  </r>
  <r>
    <s v="OK"/>
    <s v="Duty Free Markets"/>
    <n v="1277"/>
    <s v="Trd shelf"/>
    <s v="Permanent space rental paid to retailer to allow JTI to place POPM in store"/>
    <s v="Retailer"/>
    <s v="502450 BTLTrade/MerchAllowShelfAllowShelfSpaceFee"/>
    <x v="1"/>
    <s v="351200 Trade POPMs Placement Fees - PERMANENT"/>
    <s v="N/A"/>
    <x v="0"/>
    <m/>
    <m/>
    <m/>
    <m/>
    <s v="Yes"/>
    <s v="Yes"/>
  </r>
  <r>
    <s v="OK"/>
    <s v="Duty Free Markets"/>
    <n v="1277"/>
    <s v="Trd distribution"/>
    <s v="Listing fee, product visibility paid to retailer"/>
    <s v="Retailer"/>
    <s v="502455 BTLTrade/MerchAllowShelfAllowDistributionMaintFee"/>
    <x v="1"/>
    <s v="351100 Listing / Slotting / Visibility Fees"/>
    <s v="N/A"/>
    <x v="0"/>
    <m/>
    <m/>
    <m/>
    <m/>
    <s v="Yes"/>
    <s v="Yes"/>
  </r>
  <r>
    <s v="OK"/>
    <s v="Duty Free Markets"/>
    <n v="1277"/>
    <s v="Trd display"/>
    <s v="Margin compensation paid to retailer as per agreement"/>
    <s v="Retailer"/>
    <s v="502500 BTLTrade/MerchAllowInStoreAllowDispl/POPMLocatnFee"/>
    <x v="1"/>
    <s v="351400 Retail Allowances"/>
    <s v="N/A"/>
    <x v="0"/>
    <m/>
    <m/>
    <m/>
    <m/>
    <s v="Yes"/>
    <s v="Yes"/>
  </r>
  <r>
    <s v="OK"/>
    <s v="Duty Free Markets"/>
    <n v="1277"/>
    <s v="Trd activity"/>
    <s v="Temporary space rental paid to retailer to allow JTI to place POPM in store"/>
    <s v="Retailer"/>
    <s v="502560 BTLTrade/MerchAllowBusDvlp/GrowthIncentActivitFreq"/>
    <x v="1"/>
    <s v="351300 Trade POPMs Placement Fees - TEMPORARY"/>
    <s v="N/A"/>
    <x v="0"/>
    <m/>
    <m/>
    <m/>
    <m/>
    <s v="Yes"/>
    <s v="Yes"/>
  </r>
  <r>
    <s v="OK"/>
    <s v="Duty Free Markets"/>
    <s v="1275"/>
    <s v="Trd incentives"/>
    <s v="Price-offs"/>
    <s v="End Consumer"/>
    <s v="501605 BTLTradePromTradeDirAppeal PrgmsTradeIncentives"/>
    <x v="1"/>
    <s v="341108 Consumer allowances - Non-SD"/>
    <s v="Non-SD"/>
    <x v="1"/>
    <m/>
    <n v="0.21669498000000001"/>
    <n v="0.21669498000000001"/>
    <n v="0"/>
    <s v="Yes"/>
    <s v="Yes"/>
  </r>
  <r>
    <s v="OK"/>
    <s v="Duty Free Markets"/>
    <s v="1275"/>
    <s v="Trd display"/>
    <s v="Permanent space rental paid to retailer to allow JTI to place POPM in store"/>
    <s v="Retailer"/>
    <s v="502500 BTLTrade/MerchAllowInStoreAllowDispl/POPMLocatnFee"/>
    <x v="1"/>
    <s v="351200 Trade POPMs Placement Fees - PERMANENT"/>
    <s v="N/A"/>
    <x v="0"/>
    <m/>
    <m/>
    <m/>
    <m/>
    <s v="Yes"/>
    <s v="Yes"/>
  </r>
  <r>
    <s v="OK"/>
    <s v="Duty Free Markets"/>
    <s v="1799"/>
    <s v="Trd incentives"/>
    <s v="Volume target incentives"/>
    <s v="Retailer"/>
    <s v="501605 BTLTradePromTradeDirAppeal PrgmsTradeIncentives"/>
    <x v="1"/>
    <s v="351400 Retail Allowances"/>
    <s v="N/A"/>
    <x v="0"/>
    <m/>
    <m/>
    <m/>
    <m/>
    <s v="Yes"/>
    <s v="Yes"/>
  </r>
  <r>
    <s v="OK"/>
    <s v="Duty Free Markets"/>
    <s v="1799"/>
    <s v="SlsPOP Data Customer"/>
    <s v="Sales statistics from retailer"/>
    <s v="Retailer"/>
    <s v="502010 BTLSalesInformationPurchasePOPDataPOPDataPurchas"/>
    <x v="1"/>
    <s v="351500 Sales/Marketing Information Systems"/>
    <s v="N/A"/>
    <x v="0"/>
    <m/>
    <m/>
    <m/>
    <m/>
    <s v="Yes"/>
    <s v="Yes"/>
  </r>
  <r>
    <s v="OK"/>
    <s v="Duty Free Markets"/>
    <s v="1799"/>
    <s v="Trd shelf"/>
    <s v="Permanent space rental paid to retailer to allow JTI to place POPM in store"/>
    <s v="Retailer"/>
    <s v="502450 BTLTrade/MerchAllowShelfAllowShelfSpaceFee"/>
    <x v="1"/>
    <s v="351200 Trade POPMs Placement Fees - PERMANENT"/>
    <s v="N/A"/>
    <x v="0"/>
    <m/>
    <m/>
    <m/>
    <m/>
    <s v="Yes"/>
    <s v="Yes"/>
  </r>
  <r>
    <s v="OK"/>
    <s v="Duty Free Markets"/>
    <s v="1799"/>
    <s v="Trd distribution"/>
    <s v="Listing fee, product visibility paid to retailer"/>
    <s v="Retailer"/>
    <s v="502455 BTLTrade/MerchAllowShelfAllowDistributionMaintFee"/>
    <x v="1"/>
    <s v="351100 Listing / Slotting / Visibility Fees"/>
    <s v="N/A"/>
    <x v="0"/>
    <m/>
    <m/>
    <m/>
    <m/>
    <s v="Yes"/>
    <s v="Yes"/>
  </r>
  <r>
    <s v="OK"/>
    <s v="Duty Free Markets"/>
    <s v="1799"/>
    <s v="Trd display"/>
    <s v="Permanent space rental paid to retailer to allow JTI to place POPM in store"/>
    <s v="Retailer"/>
    <s v="502500 BTLTrade/MerchAllowInStoreAllowDispl/POPMLocatnFee"/>
    <x v="1"/>
    <s v="351200 Trade POPMs Placement Fees - PERMANENT"/>
    <s v="N/A"/>
    <x v="0"/>
    <m/>
    <m/>
    <m/>
    <m/>
    <s v="Yes"/>
    <s v="Yes"/>
  </r>
  <r>
    <s v="OK"/>
    <s v="Duty Free Markets"/>
    <s v="1799"/>
    <s v="Trd activity"/>
    <s v="Temporary space rental paid to retailer to allow JTI to place POPM in store"/>
    <s v="Retailer"/>
    <s v="502560 BTLTrade/MerchAllowBusDvlp/GrowthIncentActivitFreq"/>
    <x v="1"/>
    <s v="351300 Trade POPMs Placement Fees - TEMPORARY"/>
    <s v="N/A"/>
    <x v="0"/>
    <m/>
    <m/>
    <m/>
    <m/>
    <s v="Yes"/>
    <s v="Yes"/>
  </r>
  <r>
    <s v="OK"/>
    <s v="Duty Free Markets"/>
    <s v="1799"/>
    <s v="ConDirInentPriceDisc"/>
    <s v="Discount given to retailer to reduce end-consumer selling price"/>
    <s v="End Consumer"/>
    <s v="502660 BTLCons PromConsumer Dir AppealPriceDiscount"/>
    <x v="1"/>
    <s v="341108 Consumer allowances - Non-SD"/>
    <s v="Non-SD"/>
    <x v="1"/>
    <m/>
    <n v="1.4819609300000005"/>
    <n v="1.4819609300000005"/>
    <n v="0"/>
    <s v="Yes"/>
    <s v="Yes"/>
  </r>
  <r>
    <s v="OK"/>
    <s v="Duty Free Markets"/>
    <s v="2101"/>
    <s v="Trd incentives"/>
    <s v="Volume target incentives"/>
    <s v="Retailer"/>
    <s v="501605 BTLTradePromTradeDirAppeal PrgmsTradeIncentives"/>
    <x v="1"/>
    <s v="351400 Retail Allowances"/>
    <s v="N/A"/>
    <x v="0"/>
    <m/>
    <m/>
    <m/>
    <m/>
    <s v="Yes"/>
    <s v="Yes"/>
  </r>
  <r>
    <s v="OK"/>
    <s v="Duty Free Markets"/>
    <s v="2101"/>
    <s v="SlsPOP Data Customer"/>
    <s v="Sales statistics from retailer"/>
    <s v="Retailer"/>
    <s v="502010 BTLSalesInformationPurchasePOPDataPOPDataPurchas"/>
    <x v="1"/>
    <s v="351500 Sales/Marketing Information Systems"/>
    <s v="N/A"/>
    <x v="0"/>
    <m/>
    <m/>
    <m/>
    <m/>
    <s v="Yes"/>
    <s v="Yes"/>
  </r>
  <r>
    <s v="OK"/>
    <s v="Duty Free Markets"/>
    <s v="2101"/>
    <s v="Trd shelf"/>
    <s v="Permanent space rental paid to retailer to allow JTI to place POPM in store"/>
    <s v="Retailer"/>
    <s v="502450 BTLTrade/MerchAllowShelfAllowShelfSpaceFee"/>
    <x v="1"/>
    <s v="351200 Trade POPMs Placement Fees - PERMANENT"/>
    <s v="N/A"/>
    <x v="0"/>
    <m/>
    <m/>
    <m/>
    <m/>
    <s v="Yes"/>
    <s v="Yes"/>
  </r>
  <r>
    <s v="OK"/>
    <s v="Duty Free Markets"/>
    <s v="2101"/>
    <s v="Trd distribution"/>
    <s v="Listing fee, product visibility paid to retailer"/>
    <s v="Retailer"/>
    <s v="502455 BTLTrade/MerchAllowShelfAllowDistributionMaintFee"/>
    <x v="1"/>
    <s v="351100 Listing / Slotting / Visibility Fees"/>
    <s v="N/A"/>
    <x v="0"/>
    <m/>
    <m/>
    <m/>
    <m/>
    <s v="Yes"/>
    <s v="Yes"/>
  </r>
  <r>
    <s v="OK"/>
    <s v="Duty Free Markets"/>
    <s v="2101"/>
    <s v="Trd display"/>
    <s v="Permanent space rental paid to retailer to allow JTI to place POPM in store"/>
    <s v="Retailer"/>
    <s v="502500 BTLTrade/MerchAllowInStoreAllowDispl/POPMLocatnFee"/>
    <x v="1"/>
    <s v="351200 Trade POPMs Placement Fees - PERMANENT"/>
    <s v="N/A"/>
    <x v="0"/>
    <m/>
    <m/>
    <m/>
    <m/>
    <s v="Yes"/>
    <s v="Yes"/>
  </r>
  <r>
    <s v="OK"/>
    <s v="Duty Free Markets"/>
    <s v="2300"/>
    <s v="Trd incentives"/>
    <s v="Distribution fee (delivery costs - warehousing) to distributor"/>
    <s v="Distributor"/>
    <s v="501605 BTLTradePromTradeDirAppeal PrgmsTradeIncentives"/>
    <x v="1"/>
    <s v="341508 Distributor / Wholesaler / Freight allowances - Non-SD"/>
    <s v="Non-SD"/>
    <x v="2"/>
    <m/>
    <n v="1.2857109999999991E-2"/>
    <n v="1.2857109999999991E-2"/>
    <n v="0"/>
    <s v="Yes"/>
    <s v="Yes"/>
  </r>
  <r>
    <s v="OK"/>
    <s v="Duty Free Markets"/>
    <s v="2300"/>
    <s v="Trd shelf"/>
    <s v="Permanent space rental paid to retailer to allow JTI to place POPM in store"/>
    <s v="Retailer"/>
    <s v="502450 BTLTrade/MerchAllowShelfAllowShelfSpaceFee"/>
    <x v="1"/>
    <s v="351200 Trade POPMs Placement Fees - PERMANENT"/>
    <s v="N/A"/>
    <x v="0"/>
    <m/>
    <m/>
    <m/>
    <m/>
    <s v="Yes"/>
    <s v="Yes"/>
  </r>
  <r>
    <s v="OK"/>
    <s v="Duty Free Markets"/>
    <s v="2300"/>
    <s v="Trd distribution"/>
    <s v="Listing fee, product visibility paid to retailer"/>
    <s v="Retailer"/>
    <s v="502455 BTLTrade/MerchAllowShelfAllowDistributionMaintFee"/>
    <x v="1"/>
    <s v="351100 Listing / Slotting / Visibility Fees"/>
    <s v="N/A"/>
    <x v="0"/>
    <m/>
    <m/>
    <m/>
    <m/>
    <s v="Yes"/>
    <s v="Yes"/>
  </r>
  <r>
    <s v="OK"/>
    <s v="Duty Free Markets"/>
    <s v="2300"/>
    <s v="Trd display"/>
    <s v="Permanent space rental paid to retailer to allow JTI to place POPM in store"/>
    <s v="Retailer"/>
    <s v="502500 BTLTrade/MerchAllowInStoreAllowDispl/POPMLocatnFee"/>
    <x v="1"/>
    <s v="351200 Trade POPMs Placement Fees - PERMANENT"/>
    <s v="N/A"/>
    <x v="0"/>
    <m/>
    <m/>
    <m/>
    <m/>
    <s v="Yes"/>
    <s v="Yes"/>
  </r>
  <r>
    <s v="OK"/>
    <s v="Duty Free Markets"/>
    <s v="2300"/>
    <s v="Trd listing"/>
    <s v="Cigarette shipment for trade fairs"/>
    <s v="End Consumer"/>
    <s v="502570 BTLTradMerchAllowBusDvlGrowthIncentNewIntroListFee"/>
    <x v="1"/>
    <s v="341408 TITP Allowances - Non-SD"/>
    <s v="Non-SD"/>
    <x v="3"/>
    <m/>
    <n v="6.6942999999999994E-3"/>
    <n v="6.6942999999999994E-3"/>
    <n v="0"/>
    <s v="Yes"/>
    <s v="Yes"/>
  </r>
  <r>
    <s v="OK"/>
    <s v="Duty Free Markets"/>
    <s v="2300"/>
    <s v="ConDirInentPriceDisc"/>
    <s v="Discount given to retailer to reduce end-consumer selling price"/>
    <s v="End Consumer"/>
    <s v="502660 BTLCons PromConsumer Dir AppealPriceDiscount"/>
    <x v="1"/>
    <s v="341108 Consumer allowances - Non-SD"/>
    <s v="Non-SD"/>
    <x v="1"/>
    <m/>
    <n v="1.029134E-2"/>
    <n v="1.029134E-2"/>
    <n v="0"/>
    <s v="Yes"/>
    <s v="Yes"/>
  </r>
  <r>
    <s v="OK"/>
    <s v="Duty Free Markets"/>
    <s v="1275"/>
    <s v="Trd incentives"/>
    <s v="Volume target incentives"/>
    <s v="Retailer"/>
    <s v="501605 BTLTradePromTradeDirAppeal PrgmsTradeIncentives"/>
    <x v="1"/>
    <s v="351400 Retail Allowances"/>
    <s v="N/A"/>
    <x v="0"/>
    <m/>
    <m/>
    <m/>
    <m/>
    <s v="Yes"/>
    <s v="Yes"/>
  </r>
  <r>
    <s v="OK"/>
    <s v="Duty Free Markets"/>
    <n v="1277"/>
    <s v="Trd display"/>
    <s v="Permanent space rental paid to retailer to allow JTI to place POPM in store"/>
    <s v="Retailer"/>
    <s v="502500 BTLTrade/MerchAllowInStoreAllowDispl/POPMLocatnFee"/>
    <x v="1"/>
    <s v="351200 Trade POPMs Placement Fees - PERMANENT"/>
    <s v="N/A"/>
    <x v="0"/>
    <m/>
    <m/>
    <m/>
    <m/>
    <s v="Yes"/>
    <s v="Yes"/>
  </r>
  <r>
    <s v="OK"/>
    <s v="Duty Free Markets"/>
    <s v="1799"/>
    <s v="Trd display"/>
    <s v="Temporary space rental paid to retailer to allow JTI to place POPM in store"/>
    <s v="Retailer"/>
    <s v="502500 BTLTrade/MerchAllowInStoreAllowDispl/POPMLocatnFee"/>
    <x v="1"/>
    <s v="351300 Trade POPMs Placement Fees - TEMPORARY"/>
    <s v="N/A"/>
    <x v="0"/>
    <m/>
    <m/>
    <m/>
    <m/>
    <s v="Yes"/>
    <s v="Yes"/>
  </r>
  <r>
    <s v="OK"/>
    <s v="Duty Free Markets"/>
    <n v="1277"/>
    <s v="IPA"/>
    <s v="Price compensation with distributor for products sold in different channel at different price"/>
    <s v="Distributor"/>
    <s v="312010 Indirect Price Allowance"/>
    <x v="2"/>
    <s v="341108 Consumer allowances - Non-SD"/>
    <s v="Non-SD"/>
    <x v="1"/>
    <m/>
    <n v="-3.7720162900000012"/>
    <n v="-3.7720162900000012"/>
    <n v="0"/>
    <s v="Yes"/>
    <s v="Yes"/>
  </r>
  <r>
    <s v="OK"/>
    <s v="Duty Free Markets"/>
    <s v="1799"/>
    <s v="IPA"/>
    <s v="Price compensation with distributor for products sold in different channel at different price"/>
    <s v="Distributor"/>
    <s v="312010 Indirect Price Allowance"/>
    <x v="2"/>
    <s v="341108 Consumer allowances - Non-SD"/>
    <s v="Non-SD"/>
    <x v="1"/>
    <m/>
    <n v="0.91435819999999857"/>
    <n v="0.91435819999999857"/>
    <n v="0"/>
    <s v="Yes"/>
    <s v="Yes"/>
  </r>
  <r>
    <s v="OK"/>
    <s v="Duty Free Markets"/>
    <s v="2101"/>
    <s v="IPA"/>
    <s v="Price compensation with distributor for products sold in different channel at different price"/>
    <s v="Distributor"/>
    <s v="312010 Indirect Price Allowance"/>
    <x v="2"/>
    <s v="341108 Consumer allowances - Non-SD"/>
    <s v="Non-SD"/>
    <x v="1"/>
    <m/>
    <n v="-2.9565440000000002E-2"/>
    <n v="-2.9565440000000002E-2"/>
    <n v="0"/>
    <s v="Yes"/>
    <s v="Yes"/>
  </r>
  <r>
    <s v="OK"/>
    <s v="Duty Free Markets"/>
    <s v="2300"/>
    <s v="IPA"/>
    <s v="Price compensation with distributor for products sold in different channel at different price"/>
    <s v="Distributor"/>
    <s v="312010 Indirect Price Allowance"/>
    <x v="2"/>
    <s v="341108 Consumer allowances - Non-SD"/>
    <s v="Non-SD"/>
    <x v="1"/>
    <m/>
    <n v="8.685768000000002E-2"/>
    <n v="8.685768000000002E-2"/>
    <n v="0"/>
    <s v="Yes"/>
    <s v="Yes"/>
  </r>
  <r>
    <s v="OK"/>
    <s v="Duty Free Markets"/>
    <s v="1799"/>
    <s v="IPA"/>
    <s v="Price compensation with distributor for products sold in different channel at different price"/>
    <s v="Distributor"/>
    <s v="306016 Cash discount adjustment adj for CO-PA"/>
    <x v="2"/>
    <s v="341108 Consumer allowances - Non-SD"/>
    <s v="Non-SD"/>
    <x v="1"/>
    <m/>
    <n v="0.01"/>
    <n v="0.01"/>
    <n v="0"/>
    <s v="Yes"/>
    <s v="Yes"/>
  </r>
  <r>
    <s v="OK"/>
    <s v="Benelux"/>
    <n v="1303"/>
    <s v="Immediate Payment Discount"/>
    <s v="Discount given to customers (retailers and distributors) for immediate payment. Booked through SD."/>
    <s v="Distributor"/>
    <s v="306015 Cash discount other"/>
    <x v="2"/>
    <s v="341200 Payment allowances - SD"/>
    <s v="SD"/>
    <x v="1"/>
    <n v="3.7360000000000002"/>
    <m/>
    <m/>
    <m/>
    <n v="3.7360000000000002"/>
    <n v="3.7360000000000002"/>
  </r>
  <r>
    <s v="OK"/>
    <s v="Benelux"/>
    <n v="1303"/>
    <s v="Distribution allowance"/>
    <s v="Quantity/Volume allowances (rebates given to Distributors on a quarterly basis through credit notes)"/>
    <s v="Distributor"/>
    <s v="308010 Trade Allowance"/>
    <x v="0"/>
    <s v="341508 Distributor / Wholesaler / Freight allowances - Non-SD"/>
    <s v="Non-SD"/>
    <x v="2"/>
    <m/>
    <n v="1.464"/>
    <n v="1.464"/>
    <n v="0"/>
    <n v="1.464"/>
    <n v="1.464"/>
  </r>
  <r>
    <s v="OK"/>
    <s v="Benelux"/>
    <n v="1303"/>
    <s v="Sales/Marketing information"/>
    <s v="Data collection allowances (rebates given to Distributors on a quarterly basis through credit notes)"/>
    <s v="Distributor"/>
    <s v="308010 Trade Allowance"/>
    <x v="0"/>
    <s v="351500 Sales/Marketing Information Systems"/>
    <s v="N/A"/>
    <x v="0"/>
    <m/>
    <m/>
    <m/>
    <m/>
    <n v="1.266"/>
    <n v="1.266"/>
  </r>
  <r>
    <s v="OK"/>
    <s v="Benelux"/>
    <n v="1303"/>
    <s v="Distribution allowance"/>
    <s v="Compensation agreements with Distributor on a range of products (Buckets, Winston Mega Box,…) to maintain certain profit margin"/>
    <s v="Distributor"/>
    <s v="313010 Discount adjustments account"/>
    <x v="2"/>
    <s v="341508 Distributor / Wholesaler / Freight allowances - Non-SD"/>
    <s v="Non-SD"/>
    <x v="2"/>
    <m/>
    <n v="6.4969999999999999"/>
    <n v="6.4969999999999999"/>
    <n v="0"/>
    <n v="6.4969999999999999"/>
    <n v="6.4969999999999999"/>
  </r>
  <r>
    <s v="OK"/>
    <s v="Benelux"/>
    <n v="1303"/>
    <s v="Distribution allowance"/>
    <s v="Amber Leaf Track &amp; Trace (Warehousing and related cost of shipment preparation)"/>
    <s v="Distributor"/>
    <s v="313010 Discount adjustments account"/>
    <x v="2"/>
    <s v="341508 Distributor / Wholesaler / Freight allowances - Non-SD"/>
    <s v="Non-SD"/>
    <x v="2"/>
    <m/>
    <n v="7.3999999999999996E-2"/>
    <n v="7.3999999999999996E-2"/>
    <n v="0"/>
    <n v="7.3999999999999996E-2"/>
    <n v="7.3999999999999996E-2"/>
  </r>
  <r>
    <s v="OK"/>
    <s v="Benelux"/>
    <n v="1114"/>
    <s v="Distribution allowance"/>
    <s v="Compensation agreements with Wholesalers on a range of products to maintain certain profit margin"/>
    <s v="Wholesaler"/>
    <s v="313010 Discount adjustments account"/>
    <x v="2"/>
    <s v="341500 Distributor / Wholesaler / Freight allowances - SD"/>
    <s v="SD"/>
    <x v="2"/>
    <n v="3.5462682124832616"/>
    <m/>
    <m/>
    <m/>
    <n v="3.5462682124832616"/>
    <n v="3.5462682124832616"/>
  </r>
  <r>
    <s v="OK"/>
    <s v="Benelux"/>
    <n v="1114"/>
    <s v="Distribution allowance"/>
    <s v="Logistic fees paid to our Wholesalers"/>
    <s v="Wholesaler"/>
    <s v="313010 Discount adjustments account"/>
    <x v="2"/>
    <s v="341500 Distributor / Wholesaler / Freight allowances - SD"/>
    <s v="SD"/>
    <x v="2"/>
    <n v="0.48199999999999998"/>
    <m/>
    <m/>
    <m/>
    <n v="0.48199999999999998"/>
    <n v="0.48199999999999998"/>
  </r>
  <r>
    <s v="OK"/>
    <s v="Benelux"/>
    <n v="1114"/>
    <s v="Pay for performance "/>
    <s v="Listing contracts with supermarkets chains, petrol stations, etc (fees depends on  performance)"/>
    <s v="Retailer"/>
    <s v="502550 BTLTrade/MerchAllowBusDvlp/GrowthIncentVolGrowth"/>
    <x v="1"/>
    <s v="351100 Listing / Slotting / Visibility Fees"/>
    <s v="N/A"/>
    <x v="0"/>
    <m/>
    <m/>
    <m/>
    <m/>
    <m/>
    <m/>
  </r>
  <r>
    <s v="OK"/>
    <s v="Benelux"/>
    <n v="1114"/>
    <s v="Trade distribution"/>
    <s v="Listing contracts with supermarkets chains, petrol stations. etc (fixed fees)"/>
    <s v="Retailer"/>
    <s v="502455 BTLTrade/MerchAllowShelfAllowDistributionMaintFee"/>
    <x v="1"/>
    <s v="351100 Listing / Slotting / Visibility Fees"/>
    <s v="N/A"/>
    <x v="0"/>
    <m/>
    <m/>
    <m/>
    <m/>
    <m/>
    <m/>
  </r>
  <r>
    <s v="OK"/>
    <s v="Benelux"/>
    <n v="1114"/>
    <s v="Permanent Trade POPM"/>
    <s v="Placement of permenent POPM in Tobacco channel  "/>
    <s v="Retailer"/>
    <s v="502205 BTLTrade/MerchAllowancesPOPMPlacement-PermOutdoor"/>
    <x v="1"/>
    <s v="351200 Trade POPMs Placement Fees - PERMANENT"/>
    <s v="N/A"/>
    <x v="0"/>
    <m/>
    <m/>
    <m/>
    <m/>
    <m/>
    <m/>
  </r>
  <r>
    <s v="OK"/>
    <s v="Benelux"/>
    <n v="1114"/>
    <s v="Trade shelf"/>
    <s v="Payments to trade (customers)to obtain a desired shelf space / shelf position for a specified period of time."/>
    <s v="Retailer"/>
    <s v="502450 BTLTrade/MerchAllowShelfAllowShelfSpaceFee"/>
    <x v="1"/>
    <s v="351100 Listing / Slotting / Visibility Fees"/>
    <s v="N/A"/>
    <x v="0"/>
    <m/>
    <m/>
    <m/>
    <m/>
    <m/>
    <m/>
  </r>
  <r>
    <s v="OK"/>
    <s v="Benelux"/>
    <n v="1114"/>
    <s v="Sales/Marketing information"/>
    <s v="Payments to trade (customers)for POP information collection and / or exchange (when can only be obtained from customer)."/>
    <s v="Retailer"/>
    <s v="502010 BTLSalesInformationPurchasePOPDataPOPDataPurchas"/>
    <x v="1"/>
    <s v="351500 Sales/Marketing Information Systems"/>
    <s v="N/A"/>
    <x v="0"/>
    <m/>
    <m/>
    <m/>
    <m/>
    <m/>
    <m/>
  </r>
  <r>
    <s v="OK"/>
    <s v="Benelux"/>
    <n v="1303"/>
    <s v="Retailer allowance "/>
    <s v="Independent retailers Incentive plan for meeting certain criterias (visibility, volume, SoM, etc). Paid to Visa cards issued on JTI request by bank"/>
    <s v="Retailer"/>
    <s v="502505 BTLTrade/MerchAllowInStoreAllowPlanogramsfee"/>
    <x v="1"/>
    <s v="351400 Retail Allowances"/>
    <s v="N/A"/>
    <x v="0"/>
    <m/>
    <m/>
    <m/>
    <m/>
    <m/>
    <m/>
  </r>
  <r>
    <s v="OK"/>
    <s v="Benelux"/>
    <n v="1303"/>
    <s v="Listing/Visibility fees"/>
    <s v="Listing contracts with supermarkets chains,"/>
    <s v="Retailer"/>
    <s v="502455 BTLTrade/MerchAllowShelfAllowDistributionMaintFee"/>
    <x v="1"/>
    <s v="351100 Listing / Slotting / Visibility Fees"/>
    <s v="N/A"/>
    <x v="0"/>
    <m/>
    <m/>
    <m/>
    <m/>
    <m/>
    <m/>
  </r>
  <r>
    <s v="OK"/>
    <s v="Benelux"/>
    <n v="1303"/>
    <s v="Permanent Trade POPM"/>
    <s v="Placement of JTI furniture in Night shops, Tobacco and Border shops, etc"/>
    <s v="Retailer"/>
    <s v="502200 BTLTrade/MerchAllowancesPOPMPlacement-PermIndoor"/>
    <x v="1"/>
    <s v="351200 Trade POPMs Placement Fees - PERMANENT"/>
    <s v="N/A"/>
    <x v="0"/>
    <m/>
    <m/>
    <m/>
    <m/>
    <m/>
    <m/>
  </r>
  <r>
    <s v="OK"/>
    <s v="Benelux"/>
    <n v="1303"/>
    <s v="Listing/Visibility fees"/>
    <s v="Listing contracts with petrol stations, organized border shops "/>
    <s v="Retailer"/>
    <s v="502505 BTLTrade/MerchAllowInStoreAllowPlanogramsfee"/>
    <x v="1"/>
    <s v="351100 Listing / Slotting / Visibility Fees"/>
    <s v="N/A"/>
    <x v="0"/>
    <m/>
    <m/>
    <m/>
    <m/>
    <m/>
    <m/>
  </r>
  <r>
    <s v="OK"/>
    <s v="Benelux"/>
    <n v="1303"/>
    <s v="Listing/Visibility fees"/>
    <s v="Collaboration agrements with wholesalers aimed at raising product visibility"/>
    <s v="Wholesaler"/>
    <s v="502560 BTLTrade/MerchAllowBusDvlp/GrowthIncentActivitFreq"/>
    <x v="1"/>
    <s v="351100 Listing / Slotting / Visibility Fees"/>
    <s v="N/A"/>
    <x v="0"/>
    <m/>
    <m/>
    <m/>
    <m/>
    <m/>
    <m/>
  </r>
  <r>
    <s v="OK"/>
    <s v="Benelux"/>
    <n v="1114"/>
    <s v="Trade vending"/>
    <s v="Payments to trade (customers)for securing a new brand / SKU or maintaining an existing brand / SKU in vending."/>
    <s v="Retailer"/>
    <s v="502460 BTLTrade/MerchAllowShelfAllowVendingColListingFee"/>
    <x v="1"/>
    <s v="351100 Listing / Slotting / Visibility Fees"/>
    <s v="N/A"/>
    <x v="0"/>
    <m/>
    <m/>
    <m/>
    <m/>
    <m/>
    <m/>
  </r>
  <r>
    <s v="OK"/>
    <s v="Benelux"/>
    <n v="1114"/>
    <s v="Trade POPMs placement fee - non permanent "/>
    <s v="Payments to trade (customers)for maintaining specific positions selected by JTI for Point of Placement Material for specified period._x000a_Also includes loyalty schemes for keeping POPM in place."/>
    <s v="Retailer"/>
    <s v="502500 BTLTrade/MerchAllowInStoreAllowDispl/POPMLocatnFee"/>
    <x v="1"/>
    <s v="351300 Trade POPMs Placement Fees - TEMPORARY"/>
    <s v="N/A"/>
    <x v="0"/>
    <m/>
    <m/>
    <m/>
    <m/>
    <m/>
    <m/>
  </r>
  <r>
    <s v="OK"/>
    <s v="Benelux"/>
    <n v="1114"/>
    <s v="Trade Listing"/>
    <s v="Payment to trade (customers)for the introduction of a new brand or SKU."/>
    <s v="Retailer"/>
    <s v="502570 BTLTradMerchAllowBusDvlGrowthIncentNewIntroListFee"/>
    <x v="1"/>
    <s v="351100 Listing / Slotting / Visibility Fees"/>
    <s v="N/A"/>
    <x v="0"/>
    <m/>
    <m/>
    <m/>
    <m/>
    <m/>
    <m/>
  </r>
  <r>
    <s v="OK"/>
    <s v="Benelux"/>
    <n v="1114"/>
    <s v="Trade Incentives "/>
    <s v="Trade incentives paid to customers for meeting contractually agreed performance measures for a general trade appeal program."/>
    <s v="Retailer"/>
    <s v="501605 BTLTradePromTradeDirAppeal PrgmsTradeIncentives"/>
    <x v="1"/>
    <s v="351400 Retail Allowances"/>
    <s v="N/A"/>
    <x v="0"/>
    <m/>
    <m/>
    <m/>
    <m/>
    <m/>
    <m/>
  </r>
  <r>
    <s v="OK"/>
    <s v="Benelux"/>
    <n v="1114"/>
    <s v="Trade activity"/>
    <s v="Payments to trade (customers)for securing specific periods of activity for JTI. "/>
    <s v="Retailer"/>
    <s v="502560 BTLTrade/MerchAllowBusDvlp/GrowthIncentActivitFreq"/>
    <x v="1"/>
    <s v="351100 Listing / Slotting / Visibility Fees"/>
    <s v="N/A"/>
    <x v="0"/>
    <m/>
    <m/>
    <m/>
    <m/>
    <m/>
    <m/>
  </r>
  <r>
    <s v="OK"/>
    <s v="Benelux"/>
    <n v="1114"/>
    <s v="Fixed POS Fee"/>
    <s v="Payments to trade (customers)which enables JTI to secure a permanent position inside an outlet for Point Of Placement Material."/>
    <s v="Retailer"/>
    <s v="502200 BTLTrade/MerchAllowancesPOPMPlacement-PermIndoor"/>
    <x v="1"/>
    <s v="351200 Trade POPMs Placement Fees - PERMANENT"/>
    <s v="N/A"/>
    <x v="0"/>
    <m/>
    <m/>
    <m/>
    <m/>
    <m/>
    <m/>
  </r>
  <r>
    <s v="OK"/>
    <s v="Benelux"/>
    <n v="1114"/>
    <s v="Trade planogram"/>
    <s v="Payments to trade (customers)for maintaining JTIs planogram in a pre agreed position for a specified period."/>
    <s v="Retailer"/>
    <s v="502505 BTLTrade/MerchAllowInStoreAllowPlanogramsfee"/>
    <x v="1"/>
    <s v="351100 Listing / Slotting / Visibility Fees"/>
    <s v="N/A"/>
    <x v="0"/>
    <m/>
    <m/>
    <m/>
    <m/>
    <m/>
    <m/>
  </r>
  <r>
    <s v="OK"/>
    <s v="Benelux"/>
    <n v="1114"/>
    <s v="Trade vending visibility"/>
    <s v="Payments to trade (customers)for renting advertising space on vending machines"/>
    <s v="Retailer"/>
    <s v="502465 BTLTrade/MerchAllowShelfAllowVendingvisibilityfee"/>
    <x v="1"/>
    <s v="351100 Listing / Slotting / Visibility Fees"/>
    <s v="N/A"/>
    <x v="0"/>
    <m/>
    <m/>
    <m/>
    <m/>
    <m/>
    <m/>
  </r>
  <r>
    <s v="OK"/>
    <s v="Benelux"/>
    <n v="1303"/>
    <s v="Trade vending"/>
    <s v="Payments to trade (customers)for securing a new brand / SKU or maintaining an existing brand / SKU in vending."/>
    <s v="Retailer"/>
    <s v="502460 BTLTrade/MerchAllowShelfAllowVendingColListingFee"/>
    <x v="1"/>
    <s v="351100 Listing / Slotting / Visibility Fees"/>
    <s v="N/A"/>
    <x v="0"/>
    <m/>
    <m/>
    <m/>
    <m/>
    <m/>
    <m/>
  </r>
  <r>
    <s v="OK"/>
    <s v="Benelux"/>
    <n v="1303"/>
    <s v="Trade incentive "/>
    <s v="Temporary trade incentives for achieving specific targets in Night shops and Tobacco channels"/>
    <s v="Retailer"/>
    <s v="501605 BTLTradePromTradeDirAppeal PrgmsTradeIncentives"/>
    <x v="1"/>
    <s v="351400 Retail Allowances"/>
    <s v="N/A"/>
    <x v="0"/>
    <m/>
    <m/>
    <m/>
    <m/>
    <m/>
    <m/>
  </r>
  <r>
    <s v="OK"/>
    <s v="Benelux"/>
    <n v="1303"/>
    <s v="Trade planogram"/>
    <s v="Payments to trade (customers)for maintaining JTIs planogram in a pre agreed position for a specified period as well as introduction of a new SKUs"/>
    <s v="Retailer"/>
    <s v="502555 BTLTrade/MerchAllowBusDvlp/GrowthIncentDistrGains"/>
    <x v="1"/>
    <s v="351100 Listing / Slotting / Visibility Fees"/>
    <s v="N/A"/>
    <x v="0"/>
    <m/>
    <m/>
    <m/>
    <m/>
    <m/>
    <m/>
  </r>
  <r>
    <s v="OK"/>
    <s v="Benelux"/>
    <n v="1303"/>
    <s v="Pay for performance "/>
    <s v="Listing contracts withkey accounts linked to performance"/>
    <s v="Retailer"/>
    <s v="502550 BTLTrade/MerchAllowBusDvlp/GrowthIncentVolGrowth"/>
    <x v="1"/>
    <s v="351100 Listing / Slotting / Visibility Fees"/>
    <s v="N/A"/>
    <x v="0"/>
    <m/>
    <m/>
    <m/>
    <m/>
    <m/>
    <m/>
  </r>
  <r>
    <s v="OK"/>
    <s v="Benelux"/>
    <n v="1303"/>
    <s v="Sales/Marketing information"/>
    <s v="Payments to trade (customers)for POP information collection and / or exchange (when can only be obtained from customer)."/>
    <s v="Retailer"/>
    <s v="502010 BTLSalesInformationPurchasePOPDataPOPDataPurchas"/>
    <x v="1"/>
    <s v="351500 Sales/Marketing Information Systems"/>
    <s v="N/A"/>
    <x v="0"/>
    <m/>
    <m/>
    <m/>
    <m/>
    <m/>
    <m/>
  </r>
  <r>
    <s v="OK"/>
    <s v="Benelux"/>
    <n v="1303"/>
    <s v="TITP"/>
    <s v="TITP (included in gross sales, booked through SD)"/>
    <s v="Retailer"/>
    <s v="313010 Discount adjustments account"/>
    <x v="2"/>
    <s v="341400 TITP allowances - SD"/>
    <s v="SD"/>
    <x v="3"/>
    <n v="0.3"/>
    <m/>
    <m/>
    <m/>
    <m/>
    <m/>
  </r>
  <r>
    <s v="OK"/>
    <s v="Turkey"/>
    <n v="1172"/>
    <s v="Returned invoices  SD"/>
    <s v="Returned invoices from customers due to price reduction."/>
    <s v="Distributor"/>
    <s v="308010 Trade Allowance"/>
    <x v="0"/>
    <s v="341100 Consumer allowances - SD"/>
    <s v="SD"/>
    <x v="1"/>
    <n v="0.264589271684748"/>
    <m/>
    <m/>
    <m/>
    <n v="0.264589271684748"/>
    <n v="0.264589271684748"/>
  </r>
  <r>
    <s v="OK"/>
    <s v="Turkey"/>
    <n v="1172"/>
    <s v="Returns invoices  Non-SD"/>
    <s v="Non-SD GL Account for price reduction."/>
    <s v="Distributor"/>
    <s v="308011 Trade Allowance booked outside SD"/>
    <x v="0"/>
    <s v="341108 Consumer allowances - Non-SD"/>
    <s v="Non-SD"/>
    <x v="1"/>
    <m/>
    <n v="0.01"/>
    <n v="0.01"/>
    <n v="0.01"/>
    <m/>
    <m/>
  </r>
  <r>
    <s v="OK"/>
    <s v="Turkey"/>
    <n v="1172"/>
    <s v="Incentives for Distributor Sales Force SD"/>
    <s v="Allowances stemming from programs given to distributor sales force to increase JTI sales"/>
    <s v="Distributor"/>
    <s v="308010 Trade Allowance"/>
    <x v="0"/>
    <s v="341500 Distributor / Wholesaler / Freight allowances - SD"/>
    <s v="SD"/>
    <x v="2"/>
    <n v="1.2"/>
    <m/>
    <m/>
    <m/>
    <n v="1.2"/>
    <n v="1.2"/>
  </r>
  <r>
    <s v="OK"/>
    <s v="Turkey"/>
    <n v="1172"/>
    <s v="Incentives for Distributor Sales force Non-SD"/>
    <s v="Non-SD GL Account for Distributor Sales force activities"/>
    <s v="Distributor"/>
    <s v="308011 Trade Allowance booked outside SD"/>
    <x v="0"/>
    <s v="341508 Distributor / Wholesaler / Freight allowances - Non-SD"/>
    <s v="Non-SD"/>
    <x v="2"/>
    <m/>
    <n v="0.01"/>
    <n v="0.01"/>
    <n v="0.01"/>
    <m/>
    <m/>
  </r>
  <r>
    <s v="OK"/>
    <s v="Turkey"/>
    <n v="1172"/>
    <s v="Incentives for Retailers SD"/>
    <s v="Allowances given to provide our visibility and increase JTI sales at Retailers, Militaries, Wholesalers, etc."/>
    <s v="Retailer"/>
    <s v="308010 Trade Allowance"/>
    <x v="0"/>
    <s v="351400 Retail Allowances"/>
    <s v="N/A"/>
    <x v="0"/>
    <m/>
    <m/>
    <m/>
    <m/>
    <n v="5.4306786552692277"/>
    <n v="5.4306786552692277"/>
  </r>
  <r>
    <s v="OK"/>
    <s v="Turkey"/>
    <n v="1172"/>
    <s v="Incentives for Retailers Non-SD"/>
    <s v="Non-SD GL Account for allowances given to provide our visibility and increase JTI sales at Retailers, Militaries, Wholesalers, etc. "/>
    <s v="Retailer"/>
    <s v="308011 Trade Allowance booked outside SD"/>
    <x v="0"/>
    <s v="351400 Retail Allowances"/>
    <s v="N/A"/>
    <x v="0"/>
    <m/>
    <m/>
    <m/>
    <m/>
    <n v="8.9633955431754862E-3"/>
    <n v="8.9633955431754862E-3"/>
  </r>
  <r>
    <s v="OK"/>
    <s v="Turkey"/>
    <n v="1172"/>
    <s v="Letter of Guarantees Non-SD"/>
    <s v="Letter of Guarantee commissions charged to JTI by KA Retailers and Wholesalers."/>
    <s v="Retailer"/>
    <s v="308070 Customer / Distributor Bank Fees"/>
    <x v="0"/>
    <s v="341208 Payment allowances - Non-SD"/>
    <s v="Non-SD"/>
    <x v="1"/>
    <m/>
    <n v="0.15831894150417797"/>
    <n v="0.15831894150417797"/>
    <n v="0"/>
    <n v="0.15831894150417797"/>
    <n v="0.15831894150417797"/>
  </r>
  <r>
    <s v="OK"/>
    <s v="Turkey"/>
    <n v="1172"/>
    <s v="Incentives for Distributors SD"/>
    <s v="Distributor Incentive Programs"/>
    <s v="Distributor"/>
    <s v="308010 Trade Allowance"/>
    <x v="0"/>
    <s v="341500 Distributor / Wholesaler / Freight allowances - SD"/>
    <s v="SD"/>
    <x v="2"/>
    <n v="2.2282159341949437"/>
    <m/>
    <m/>
    <m/>
    <n v="2.2282159341949437"/>
    <n v="2.2282159341949437"/>
  </r>
  <r>
    <s v="OK"/>
    <s v="Turkey"/>
    <n v="1172"/>
    <s v="Incentives for Distributors Non-SD"/>
    <s v="Non-SD GL Account for Distributor Incentives Programs"/>
    <s v="Distributor"/>
    <s v="308011 Trade Allowance booked outside SD"/>
    <x v="0"/>
    <s v="341508 Distributor / Wholesaler / Freight allowances - Non-SD"/>
    <s v="Non-SD"/>
    <x v="2"/>
    <m/>
    <n v="0.01"/>
    <n v="0.01"/>
    <n v="0.01"/>
    <m/>
    <m/>
  </r>
  <r>
    <s v="OK"/>
    <s v="Turkey"/>
    <n v="1172"/>
    <s v="Support Programs for Distributor's-SD"/>
    <s v="Distributor Support Programs"/>
    <s v="Distributor"/>
    <s v="308010 Trade Allowance"/>
    <x v="0"/>
    <s v="341500 Distributor / Wholesaler / Freight allowances - SD"/>
    <s v="SD"/>
    <x v="2"/>
    <n v="0.3741654837728785"/>
    <m/>
    <m/>
    <m/>
    <n v="0.3741654837728785"/>
    <n v="0.3741654837728785"/>
  </r>
  <r>
    <s v="OK"/>
    <s v="Turkey"/>
    <n v="1172"/>
    <s v="Support Programs for Distributors Non-SD"/>
    <s v="Non-SD GL Account for Distributor Support Programs"/>
    <s v="Distributor"/>
    <s v="308011 Trade Allowance booked outside SD"/>
    <x v="0"/>
    <s v="341508 Distributor / Wholesaler / Freight allowances - Non-SD"/>
    <s v="Non-SD"/>
    <x v="2"/>
    <m/>
    <n v="0.01"/>
    <n v="0.01"/>
    <n v="0.01"/>
    <m/>
    <m/>
  </r>
  <r>
    <s v="OK"/>
    <s v="Turkey"/>
    <n v="1172"/>
    <s v="Premium for Key Accounts SD"/>
    <s v="Year End Trade Allowances for Key Account's according to sales achievement."/>
    <s v="Retailer"/>
    <s v="308010 Trade Allowance"/>
    <x v="0"/>
    <s v="351400 Retail Allowances"/>
    <s v="N/A"/>
    <x v="0"/>
    <m/>
    <m/>
    <m/>
    <m/>
    <n v="1.0094707520891366"/>
    <n v="1.0094707520891366"/>
  </r>
  <r>
    <s v="OK"/>
    <s v="Turkey"/>
    <n v="1172"/>
    <s v="Premium for Key Accounts Non-SD"/>
    <s v="Non-SD GL Account for Year End Trade Allowances for Key Account's"/>
    <s v="Retailer"/>
    <s v="308011 Trade Allowance booked outside SD"/>
    <x v="0"/>
    <s v="351400 Retail Allowances"/>
    <s v="N/A"/>
    <x v="0"/>
    <m/>
    <m/>
    <m/>
    <m/>
    <n v="0.01"/>
    <n v="0.01"/>
  </r>
  <r>
    <s v="OK"/>
    <s v="Turkey"/>
    <n v="1172"/>
    <s v="Support Team work"/>
    <s v="Merchandising Organization for awareness and availability at sales points. (at Retailers &amp; Key Account's)"/>
    <s v="Distributor"/>
    <s v="502550 BTLTrade/MerchAllowBusDvlp/GrowthIncentVolGrowth"/>
    <x v="1"/>
    <s v="351100 Listing / Slotting / Visibility Fees"/>
    <s v="N/A"/>
    <x v="0"/>
    <m/>
    <m/>
    <m/>
    <m/>
    <m/>
    <m/>
  </r>
  <r>
    <s v="OK"/>
    <s v="Turkey"/>
    <n v="1172"/>
    <s v="Support Team work &amp; Activities"/>
    <s v="Sales promoting activities to raise consumers' awareness of our products."/>
    <s v="Distributor"/>
    <s v="502555 BTLTrade/MerchAllowBusDvlp/GrowthIncentDistrGains"/>
    <x v="1"/>
    <s v="351100 Listing / Slotting / Visibility Fees"/>
    <s v="N/A"/>
    <x v="0"/>
    <m/>
    <m/>
    <m/>
    <m/>
    <m/>
    <m/>
  </r>
  <r>
    <s v="OK"/>
    <s v="Turkey"/>
    <n v="1172"/>
    <s v="Penetration &amp; Listing"/>
    <s v="Penetration and Listing at Retailers."/>
    <s v="Retailer"/>
    <s v="502455 BTLTrade/MerchAllowShelfAllowDistributionMaintFee"/>
    <x v="1"/>
    <s v="351100 Listing / Slotting / Visibility Fees"/>
    <s v="N/A"/>
    <x v="0"/>
    <m/>
    <m/>
    <m/>
    <m/>
    <m/>
    <m/>
  </r>
  <r>
    <s v="OK"/>
    <s v="Turkey"/>
    <n v="1172"/>
    <s v="Shelf positioning"/>
    <s v="Shelf positioning at Key Account points, Retailers, Wholesalers"/>
    <s v="Retailer"/>
    <s v="502450 BTLTrade/MerchAllowShelfAllowShelfSpaceFee"/>
    <x v="1"/>
    <s v="351100 Listing / Slotting / Visibility Fees"/>
    <s v="N/A"/>
    <x v="0"/>
    <m/>
    <m/>
    <m/>
    <m/>
    <m/>
    <m/>
  </r>
  <r>
    <s v="OK"/>
    <s v="Turkey"/>
    <n v="1172"/>
    <s v="Concession"/>
    <s v="New entry fee to place our display unit at Retailers"/>
    <s v="Retailer"/>
    <s v="502200 BTLTrade/MerchAllowancesPOPMPlacement-PermIndoor"/>
    <x v="1"/>
    <s v="351200 Trade POPMs Placement Fees - PERMANENT"/>
    <s v="N/A"/>
    <x v="0"/>
    <m/>
    <m/>
    <m/>
    <m/>
    <m/>
    <m/>
  </r>
  <r>
    <s v="OK"/>
    <s v="Turkey"/>
    <n v="1172"/>
    <s v="Concession"/>
    <s v="New entry fee to place our display unit at Key Accounts"/>
    <s v="Retailer"/>
    <s v="502250 BTLTrade/MerchAllowancesPOPMPlcmnt-Non-PermIndoor"/>
    <x v="1"/>
    <s v="351200 Trade POPMs Placement Fees - PERMANENT"/>
    <s v="N/A"/>
    <x v="0"/>
    <m/>
    <m/>
    <m/>
    <m/>
    <m/>
    <m/>
  </r>
  <r>
    <s v="OK"/>
    <s v="Turkey"/>
    <n v="1172"/>
    <s v="Loyalty"/>
    <s v="Loyalty payments to retailers, Key Accounts to place and keep our display units."/>
    <s v="Retailer"/>
    <s v="502500 BTLTrade/MerchAllowInStoreAllowDispl/POPMLocatnFee"/>
    <x v="1"/>
    <s v="351200 Trade POPMs Placement Fees - PERMANENT"/>
    <s v="N/A"/>
    <x v="0"/>
    <m/>
    <m/>
    <m/>
    <m/>
    <m/>
    <m/>
  </r>
  <r>
    <s v="OK"/>
    <s v="Turkey"/>
    <n v="1172"/>
    <s v="Sales/Marketing Information"/>
    <s v="Migros B2B System Usage"/>
    <s v="Retailer"/>
    <s v="502010 BTLSalesInformationPurchasePOPDataPOPDataPurchas"/>
    <x v="1"/>
    <s v="351500 Sales/Marketing Information Systems"/>
    <s v="N/A"/>
    <x v="0"/>
    <m/>
    <m/>
    <m/>
    <m/>
    <m/>
    <m/>
  </r>
  <r>
    <s v="OK"/>
    <s v="Turkey"/>
    <n v="1172"/>
    <s v="Gift invoices"/>
    <s v="Invoices of the gifts which are distributed to retailers through Benim Bayim via a points-collecting-mechanism and/or offline gifts distributed on special occasions such as Mother's Day, Father's Day, Bairam etc."/>
    <s v="Retailer"/>
    <s v="502560 BTLTrade/MerchAllowBusDvlp/GrowthIncentActivitFreq"/>
    <x v="1"/>
    <s v="351400 Retail Allowances"/>
    <s v="N/A"/>
    <x v="0"/>
    <m/>
    <m/>
    <m/>
    <m/>
    <m/>
    <m/>
  </r>
  <r>
    <s v="OK"/>
    <s v="Turkey"/>
    <n v="1172"/>
    <s v="Discount invoices of distributors"/>
    <s v="Invoices of the discounts paid to retailers for some campaigns under Benim Bayim umbrella and invoices of distributor employee incentives"/>
    <s v="Retailer"/>
    <s v="502560 BTLTrade/MerchAllowBusDvlp/GrowthIncentActivitFreq"/>
    <x v="1"/>
    <s v="351400 Retail Allowances"/>
    <s v="N/A"/>
    <x v="0"/>
    <m/>
    <m/>
    <m/>
    <m/>
    <m/>
    <m/>
  </r>
  <r>
    <s v="OK"/>
    <s v="Turkey"/>
    <n v="1172"/>
    <s v="Portal hosting, operating, maintenance, support &amp; development"/>
    <s v="Invoices of hosting, operating, maintenance, support &amp; development, program management, licences and other costs of Benim Bayim portal"/>
    <s v="Retailer"/>
    <s v="502560 BTLTrade/MerchAllowBusDvlp/GrowthIncentActivitFreq"/>
    <x v="1"/>
    <s v="351400 Retail Allowances"/>
    <s v="N/A"/>
    <x v="0"/>
    <m/>
    <m/>
    <m/>
    <m/>
    <m/>
    <m/>
  </r>
  <r>
    <s v="OK"/>
    <s v="North Africa"/>
    <n v="1341"/>
    <s v="Retail Allowances"/>
    <s v="Volume target based loyalty program setteled with cash."/>
    <s v="Retailer"/>
    <s v="501605 BTLTradePromTradeDirAppeal PrgmsTradeIncentives"/>
    <x v="1"/>
    <s v="351400 Retail Allowances"/>
    <s v="N/A"/>
    <x v="0"/>
    <m/>
    <m/>
    <m/>
    <m/>
    <n v="5"/>
    <n v="5"/>
  </r>
  <r>
    <s v="OK"/>
    <s v="North Africa"/>
    <n v="1341"/>
    <s v="Retail Allowances"/>
    <s v="The allowance relates to discounts provided by the distributor to the retailer - the distributor invoices JTI the difference between original and promotional selling price - retailer is beneficiary"/>
    <s v="Retailer"/>
    <s v="501605 BTLTradePromTradeDirAppeal PrgmsTradeIncentives"/>
    <x v="1"/>
    <s v="351400 Retail Allowances"/>
    <s v="N/A"/>
    <x v="0"/>
    <m/>
    <m/>
    <m/>
    <m/>
    <n v="5"/>
    <n v="5"/>
  </r>
  <r>
    <s v="OK"/>
    <s v="North Africa"/>
    <n v="1341"/>
    <s v="Consumer Allowance"/>
    <s v="A gift is given to the end consumer to bay a JTI product and purchased by a third party."/>
    <s v="End Consumer"/>
    <s v="501605 BTLTradePromTradeDirAppeal PrgmsTradeIncentives"/>
    <x v="1"/>
    <s v="351400 Retail Allowances"/>
    <s v="N/A"/>
    <x v="0"/>
    <m/>
    <m/>
    <m/>
    <m/>
    <n v="5"/>
    <n v="5"/>
  </r>
  <r>
    <s v="OK"/>
    <s v="North Africa"/>
    <n v="1215"/>
    <s v="Consumer Allowance"/>
    <s v="A gift is given to the end consumer to bay a JTI product and purchased by a third party."/>
    <s v="End Consumer"/>
    <s v="501605 BTLTradePromTradeDirAppeal PrgmsTradeIncentives"/>
    <x v="1"/>
    <s v="351400 Retail Allowances"/>
    <s v="N/A"/>
    <x v="0"/>
    <m/>
    <m/>
    <m/>
    <m/>
    <n v="5"/>
    <n v="5"/>
  </r>
  <r>
    <s v="OK"/>
    <s v="Slovakia"/>
    <n v="2316"/>
    <s v="Listing / Visibility Fees"/>
    <s v="Listing or slotting allowance/fee is the amount charged by and paid to the Retailers for services to increase brand and/or product visibility as per agreements such as: -_x000a__x000a_- Creating or maintaining space for a product on its store shelves_x000a_- Creating or maintaining space for the product in its warehouse_x000a_- Entering or maintaining the product data in retailer's systems including programming computers to recognise the product's bar code(s)_x000a_- Specific shelf positions_x000a_- Planograms_x000a_- Backwalls_x000a_- Exclusivity fees_x000a_- Vending fees_x000a__x000a_This can also include loyalty programs for retailers which are either redeemable for cash (or other credit items (eg, gift certificates, gift cards, etc)), tobacco goods or non-tobacco goods (eg, from a catalogue) where such gifts are distributed by a third party and then reimbursed by JTI. Where gifts are purchased in advance by JTI, this is not an allowance and should be booked in COGS. "/>
    <s v="Retailer"/>
    <s v="502450 BTLTrade/MerchAllowShelfAllowShelfSpaceFee"/>
    <x v="1"/>
    <s v="351100 Listing / Slotting / Visibility Fees"/>
    <s v="N/A"/>
    <x v="0"/>
    <m/>
    <m/>
    <m/>
    <m/>
    <m/>
    <m/>
  </r>
  <r>
    <s v="OK"/>
    <s v="Slovakia"/>
    <n v="2316"/>
    <s v="Trade POPMs Placement Fees - PERMANENT"/>
    <s v="Fees paid to a Retailer to allow JTI to place POPM materials in and outside of shops on a PERMANENT basis. This should be separated from the cost of producing and installing materials which should be accounted for as a marketing expense. Permanent should be understood as 12 months or longer (retailer interruption of a maximum of once per quarter and outage of maximum 1 month)."/>
    <s v="Retailer"/>
    <s v="502200 BTLTrade/MerchAllowancesPOPMPlacement-PermIndoor"/>
    <x v="1"/>
    <s v="351200 Trade POPMs Placement Fees - PERMANENT"/>
    <s v="N/A"/>
    <x v="0"/>
    <m/>
    <m/>
    <m/>
    <m/>
    <m/>
    <m/>
  </r>
  <r>
    <s v="OK"/>
    <s v="Slovakia"/>
    <n v="2316"/>
    <s v="Trade POPMs Placement Fees - TEMPORARY"/>
    <s v="Fees paid to a Retailer to allow JTI to place POPM materials in and outside of shops on a TEMPORARY basis. This should be separated from the cost of producing and installing materials which should be accounted for as a marketing expense. Temporary should be understood as less than 12 months."/>
    <s v="Retailer"/>
    <s v="502500 BTLTrade/MerchAllowInStoreAllowDispl/POPMLocatnFee"/>
    <x v="1"/>
    <s v="351300 Trade POPMs Placement Fees - TEMPORARY"/>
    <s v="N/A"/>
    <x v="0"/>
    <m/>
    <m/>
    <m/>
    <m/>
    <m/>
    <m/>
  </r>
  <r>
    <s v="OK"/>
    <s v="Slovakia"/>
    <n v="2316"/>
    <s v="Volume Bonuses"/>
    <s v="The bonuses given to the retailer based on the achieved volume as defined in the contract."/>
    <s v="Retailer"/>
    <s v="502550 BTLTrade/MerchAllowBusDvlp/GrowthIncentVolGrowth"/>
    <x v="1"/>
    <s v="351400 Retail Allowances"/>
    <s v="N/A"/>
    <x v="0"/>
    <m/>
    <m/>
    <m/>
    <m/>
    <m/>
    <m/>
  </r>
  <r>
    <s v="OK"/>
    <s v="Slovakia"/>
    <n v="1799"/>
    <s v="Coverage bonus"/>
    <s v="Bonus for achieving agreed coverage %."/>
    <s v="Distributor"/>
    <s v="307016 Distribution commissions"/>
    <x v="0"/>
    <s v="341508 Distributor / Wholesaler / Freight allowances - Non-SD"/>
    <s v="Non-SD"/>
    <x v="2"/>
    <m/>
    <n v="0.35955056179775302"/>
    <n v="0.35955056179775302"/>
    <n v="0"/>
    <m/>
    <m/>
  </r>
  <r>
    <s v="OK"/>
    <s v="Slovakia"/>
    <n v="1799"/>
    <s v="Fee for data exchange"/>
    <s v="Fee to distibutor for the data it supplies"/>
    <s v="Distributor"/>
    <s v="307016 Distribution commissions"/>
    <x v="0"/>
    <s v="351500 Sales/Marketing Information Systems"/>
    <s v="N/A"/>
    <x v="0"/>
    <m/>
    <m/>
    <m/>
    <m/>
    <m/>
    <n v="0.3"/>
  </r>
  <r>
    <s v="OK"/>
    <s v="Slovakia"/>
    <n v="1799"/>
    <s v="Volume Bonuses"/>
    <s v="Bonus for Sales to Trade achievements "/>
    <s v="Distributor"/>
    <s v="307016 Distribution commissions"/>
    <x v="0"/>
    <s v="341508 Distributor / Wholesaler / Freight allowances - Non-SD"/>
    <s v="Non-SD"/>
    <x v="2"/>
    <m/>
    <n v="0.82022471910112404"/>
    <n v="0.82022471910112404"/>
    <n v="0"/>
    <m/>
    <m/>
  </r>
  <r>
    <s v="OK"/>
    <s v="Germany"/>
    <n v="1106"/>
    <s v="Trade POPM In Perm"/>
    <s v="Payments to Wholesale/Retail for displaying closets, money trays, displays etc. 1 year at least."/>
    <s v="Retailer"/>
    <s v="502200 BTLTrade/MerchAllowancesPOPMPlacement-PermIndoor"/>
    <x v="1"/>
    <s v="351200 Trade POPMs Placement Fees - PERMANENT"/>
    <s v="N/A"/>
    <x v="0"/>
    <m/>
    <m/>
    <m/>
    <m/>
    <m/>
    <m/>
  </r>
  <r>
    <s v="OK"/>
    <s v="Germany"/>
    <n v="1106"/>
    <s v="Trade POPM In Non-Perm"/>
    <s v="Payments to Wholesale/Retail for displaying advertisement poster, displays, closets etc. about 4 month"/>
    <s v="Retailer"/>
    <s v="502250 BTLTrade/MerchAllowancesPOPMPlcmnt-Non-PermIndoor"/>
    <x v="1"/>
    <s v="351300 Trade POPMs Placement Fees - TEMPORARY"/>
    <s v="N/A"/>
    <x v="0"/>
    <m/>
    <m/>
    <m/>
    <m/>
    <m/>
    <m/>
  </r>
  <r>
    <s v="OK"/>
    <s v="Germany"/>
    <n v="1106"/>
    <s v="Trade Distribution"/>
    <s v="Slotting (accordance on agreed positioning, assortment, etc.)/ Listing fees/ placement on shelf"/>
    <s v="Retailer"/>
    <s v="502455 BTLTrade/MerchAllowShelfAllowDistributionMaintFee"/>
    <x v="1"/>
    <s v="351100 Listing / Slotting / Visibility Fees"/>
    <s v="N/A"/>
    <x v="0"/>
    <m/>
    <m/>
    <m/>
    <m/>
    <m/>
    <m/>
  </r>
  <r>
    <s v="OK"/>
    <s v="Germany"/>
    <n v="1106"/>
    <s v="Trade Vending"/>
    <s v="Payments for the slotting/positioning for vending machines"/>
    <s v="Retailer"/>
    <s v="502460 BTLTrade/MerchAllowShelfAllowVendingColListingFee"/>
    <x v="1"/>
    <s v="351100 Listing / Slotting / Visibility Fees"/>
    <s v="N/A"/>
    <x v="0"/>
    <m/>
    <m/>
    <m/>
    <m/>
    <m/>
    <m/>
  </r>
  <r>
    <s v="OK"/>
    <s v="Germany"/>
    <n v="1106"/>
    <s v="Trade Vending Visibility"/>
    <s v="Payments for advertisement/visibility (posters, movies, etc.) for vending machines"/>
    <s v="Retailer"/>
    <s v="502465 BTLTrade/MerchAllowShelfAllowVendingvisibilityfee"/>
    <x v="1"/>
    <s v="351100 Listing / Slotting / Visibility Fees"/>
    <s v="N/A"/>
    <x v="0"/>
    <m/>
    <m/>
    <m/>
    <m/>
    <m/>
    <m/>
  </r>
  <r>
    <s v="OK"/>
    <s v="Germany"/>
    <n v="1106"/>
    <s v="Trade Volume"/>
    <s v="Special offers Volumes for Trade fair activities "/>
    <s v="Wholesaler"/>
    <s v="502550 BTLTrade/MerchAllowBusDvlp/GrowthIncentVolGrowth"/>
    <x v="1"/>
    <s v="341508 Distributor / Wholesaler / Freight allowances - Non-SD"/>
    <s v="Non-SD"/>
    <x v="2"/>
    <m/>
    <n v="1.4382022471910112"/>
    <n v="0"/>
    <n v="0"/>
    <n v="1.4382022471910112"/>
    <n v="1.4382022471910112"/>
  </r>
  <r>
    <s v="OK"/>
    <s v="Germany"/>
    <n v="1106"/>
    <s v="Trade BS Development"/>
    <s v="Payments to trade for achieving distribution gains and obtaining information:_x000a_- if the wholesaler uses its own telesales to acquire new retailers who didn´t list our product before,_x000a_- if the wholesaler delivers a list of potential new retailers,_x000a_- if the wholesaler distributes our products in areas where we are not represented with our own field force"/>
    <s v="Wholesaler"/>
    <s v="502555 BTLTrade/MerchAllowBusDvlp/GrowthIncentDistrGains"/>
    <x v="1"/>
    <s v="341508 Distributor / Wholesaler / Freight allowances - Non-SD"/>
    <s v="Non-SD"/>
    <x v="2"/>
    <m/>
    <n v="8.5617977528089888"/>
    <n v="0"/>
    <n v="0"/>
    <n v="8.5617977528089888"/>
    <n v="8.5617977528089888"/>
  </r>
  <r>
    <s v="OK"/>
    <s v="Germany"/>
    <n v="1106"/>
    <s v="Trade Activity"/>
    <s v="Payments to trade for Gantries and advertisement/positioning, special activities/incentives"/>
    <s v="Retailer"/>
    <s v="502560 BTLTrade/MerchAllowBusDvlp/GrowthIncentActivitFreq"/>
    <x v="1"/>
    <s v="351100 Listing / Slotting / Visibility Fees"/>
    <s v="N/A"/>
    <x v="0"/>
    <m/>
    <m/>
    <m/>
    <m/>
    <m/>
    <m/>
  </r>
  <r>
    <s v="OK"/>
    <s v="Germany"/>
    <n v="1106"/>
    <s v="Trd listing"/>
    <s v="Fees for listing of new Launches"/>
    <s v="Retailer"/>
    <s v="502570 BTLTradMerchAllowBusDvlGrowthIncentNewIntroListFee"/>
    <x v="1"/>
    <s v="351100 Listing / Slotting / Visibility Fees"/>
    <s v="N/A"/>
    <x v="0"/>
    <m/>
    <m/>
    <m/>
    <m/>
    <m/>
    <m/>
  </r>
  <r>
    <s v="OK"/>
    <s v="Germany"/>
    <n v="1106"/>
    <s v="Trade Allowances"/>
    <s v="Logistic Compensation (customer related), e.g. if shipment for Edeka, Rewe goes to their central warehouse further distribution by themselfs (special agreements) "/>
    <s v="Wholesaler"/>
    <s v="308010 Trade Allowance"/>
    <x v="0"/>
    <s v="341500 Distributor / Wholesaler / Freight allowances - SD"/>
    <s v="SD"/>
    <x v="2"/>
    <n v="0.8"/>
    <m/>
    <m/>
    <m/>
    <n v="0.8"/>
    <n v="0.8"/>
  </r>
  <r>
    <s v="OK"/>
    <s v="Germany"/>
    <n v="1106"/>
    <s v="Trade Allowances"/>
    <s v="Trade Discount (customer related), special agreements on volume (discount directly deducted in Invoice)"/>
    <s v="Wholesaler"/>
    <s v="308010 Trade Allowance"/>
    <x v="0"/>
    <s v="341500 Distributor / Wholesaler / Freight allowances - SD"/>
    <s v="SD"/>
    <x v="2"/>
    <n v="4.3"/>
    <m/>
    <m/>
    <m/>
    <n v="4.3"/>
    <n v="4.3"/>
  </r>
  <r>
    <s v="OK"/>
    <s v="Germany"/>
    <n v="1106"/>
    <s v="Trade Discount Other"/>
    <s v="Direct Debit Discount"/>
    <s v="Retailer"/>
    <s v="313010 Discount adjustments account"/>
    <x v="2"/>
    <s v="341200 Payment allowances - SD"/>
    <s v="SD"/>
    <x v="1"/>
    <n v="6.2"/>
    <m/>
    <m/>
    <m/>
    <n v="6.2"/>
    <n v="6.2"/>
  </r>
  <r>
    <s v="OK"/>
    <s v="Germany"/>
    <n v="1106"/>
    <s v="Cash Discount"/>
    <s v="GVN Discount for all resellers (only CIG business)"/>
    <s v="Wholesaler"/>
    <s v="306010 Cash Discount"/>
    <x v="2"/>
    <s v="341500 Distributor / Wholesaler / Freight allowances - SD"/>
    <s v="SD"/>
    <x v="2"/>
    <n v="5.5"/>
    <m/>
    <m/>
    <m/>
    <n v="5.5"/>
    <n v="5.5"/>
  </r>
  <r>
    <s v="OK"/>
    <s v="Germany"/>
    <n v="1106"/>
    <s v="Brand Introduction Allowance"/>
    <s v="Launch Discount"/>
    <s v="Wholesaler"/>
    <s v="311010 Brand Introduction Allowance"/>
    <x v="0"/>
    <s v="341500 Distributor / Wholesaler / Freight allowances - SD"/>
    <s v="SD"/>
    <x v="2"/>
    <n v="9.9999999999999995E-7"/>
    <m/>
    <m/>
    <m/>
    <m/>
    <m/>
  </r>
  <r>
    <s v="OK"/>
    <s v="Germany"/>
    <n v="1106"/>
    <s v="Trade Allowances"/>
    <s v="Cash Discount Tobacco"/>
    <s v="Wholesaler"/>
    <s v="308010 Trade Allowance"/>
    <x v="0"/>
    <s v="341500 Distributor / Wholesaler / Freight allowances - SD"/>
    <s v="SD"/>
    <x v="1"/>
    <n v="0"/>
    <m/>
    <m/>
    <m/>
    <n v="0"/>
    <n v="0"/>
  </r>
  <r>
    <s v="OK"/>
    <s v="Germany"/>
    <n v="1106"/>
    <s v="Trade Allowances"/>
    <s v="Tobacco Discount (volume related)"/>
    <s v="Wholesaler"/>
    <s v="308010 Trade Allowance"/>
    <x v="0"/>
    <s v="341500 Distributor / Wholesaler / Freight allowances - SD"/>
    <s v="SD"/>
    <x v="2"/>
    <n v="9.9999999999999995E-7"/>
    <m/>
    <m/>
    <m/>
    <m/>
    <m/>
  </r>
  <r>
    <s v="OK"/>
    <s v="Germany"/>
    <n v="1106"/>
    <s v="Trade Allowances"/>
    <s v="Tobacco Scale Discount"/>
    <s v="Wholesaler"/>
    <s v="308010 Trade Allowance"/>
    <x v="0"/>
    <s v="341500 Distributor / Wholesaler / Freight allowances - SD"/>
    <s v="SD"/>
    <x v="2"/>
    <n v="9.9999999999999995E-7"/>
    <m/>
    <m/>
    <m/>
    <m/>
    <m/>
  </r>
  <r>
    <s v="OK"/>
    <s v="Germany"/>
    <n v="1106"/>
    <s v="Trade Allowances"/>
    <s v="Cigar Discount (volume related)"/>
    <s v="Wholesaler"/>
    <s v="308010 Trade Allowance"/>
    <x v="0"/>
    <s v="341500 Distributor / Wholesaler / Freight allowances - SD"/>
    <s v="SD"/>
    <x v="2"/>
    <n v="9.9999999999999995E-7"/>
    <m/>
    <m/>
    <m/>
    <m/>
    <m/>
  </r>
  <r>
    <s v="OK"/>
    <s v="Germany"/>
    <n v="1106"/>
    <s v="Trade Allowances"/>
    <s v="Invoice Discount RRP business (customer related)"/>
    <s v="Wholesaler"/>
    <s v="308010 Trade Allowance"/>
    <x v="0"/>
    <s v="341500 Distributor / Wholesaler / Freight allowances - SD"/>
    <s v="SD"/>
    <x v="2"/>
    <n v="3.1544495157050117E-4"/>
    <m/>
    <m/>
    <m/>
    <n v="3.1544495157050117E-4"/>
    <n v="3.1544495157050117E-4"/>
  </r>
  <r>
    <s v="OK"/>
    <s v="Germany"/>
    <n v="1106"/>
    <s v="Trade Allowances"/>
    <s v="Special Discount (e.g. First Order, Trade margin compensation)"/>
    <s v="Wholesaler"/>
    <s v="308010 Trade Allowance"/>
    <x v="0"/>
    <s v="341500 Distributor / Wholesaler / Freight allowances - SD"/>
    <s v="SD"/>
    <x v="2"/>
    <n v="0.8"/>
    <m/>
    <m/>
    <m/>
    <n v="0.8"/>
    <n v="0.8"/>
  </r>
  <r>
    <s v="OK"/>
    <s v="Germany"/>
    <n v="1106"/>
    <s v="Trade Allowances"/>
    <s v="Quarterly Rebate for package disposal"/>
    <s v="Wholesaler"/>
    <s v="308010 Trade Allowance"/>
    <x v="0"/>
    <s v="341500 Distributor / Wholesaler / Freight allowances - SD"/>
    <s v="SD"/>
    <x v="2"/>
    <n v="0.1"/>
    <m/>
    <m/>
    <m/>
    <n v="0.1"/>
    <n v="0.1"/>
  </r>
  <r>
    <s v="OK"/>
    <s v="Germany"/>
    <n v="1106"/>
    <s v="Trade Allowances"/>
    <s v="Monthly Rebate (customer and volume related), once a month discounts are being reimbursed in total"/>
    <s v="Wholesaler"/>
    <s v="308010 Trade Allowance"/>
    <x v="0"/>
    <s v="341500 Distributor / Wholesaler / Freight allowances - SD"/>
    <s v="SD"/>
    <x v="2"/>
    <n v="5.4"/>
    <m/>
    <m/>
    <m/>
    <n v="5.4"/>
    <n v="5.4"/>
  </r>
  <r>
    <s v="OK"/>
    <s v="Germany"/>
    <n v="1106"/>
    <s v="TITP"/>
    <s v="TITP (included in gross sales, booked through SD)"/>
    <s v="Wholesaler"/>
    <s v="308020 Trade Incentive Tob Prod Allowance"/>
    <x v="0"/>
    <s v="341400 TITP allowances - SD"/>
    <s v="SD"/>
    <x v="3"/>
    <n v="14"/>
    <m/>
    <m/>
    <m/>
    <n v="14"/>
    <n v="14"/>
  </r>
  <r>
    <s v="OK"/>
    <s v="Germany"/>
    <n v="1106"/>
    <s v="Consumer Allowances"/>
    <s v="EP Discount Online"/>
    <s v="End Consumer"/>
    <s v="310010 Consumer Allowance"/>
    <x v="0"/>
    <s v="341100 Consumer allowances - SD"/>
    <s v="SD"/>
    <x v="1"/>
    <n v="5.5232424891602593E-2"/>
    <m/>
    <m/>
    <m/>
    <n v="5.5232424891602593E-2"/>
    <n v="5.5232424891602593E-2"/>
  </r>
  <r>
    <s v="OK"/>
    <s v="Germany"/>
    <n v="1106"/>
    <s v="Freight Allowances"/>
    <s v="EP Freight Discount - free freight for online purchase"/>
    <s v="End Consumer"/>
    <s v="307010 Freight Allowance"/>
    <x v="0"/>
    <s v="341100 Consumer allowances - SD"/>
    <s v="SD"/>
    <x v="1"/>
    <n v="7.9504088477265228E-4"/>
    <m/>
    <m/>
    <m/>
    <n v="7.9504088477265228E-4"/>
    <n v="7.9504088477265228E-4"/>
  </r>
  <r>
    <s v="OK"/>
    <s v="Middle-East"/>
    <n v="1799"/>
    <s v="Shelves rental"/>
    <s v="contracts/ fees paid to the retail through the Distributor to place POPM materials and for visibility , listing fees "/>
    <s v="Distributor"/>
    <s v="502450 BTLTrade/MerchAllowShelfAllowShelfSpaceFee"/>
    <x v="1"/>
    <s v="351400 Retail Allowances"/>
    <s v="N/A"/>
    <x v="0"/>
    <m/>
    <m/>
    <m/>
    <m/>
    <n v="4.7270000000000003"/>
    <n v="4.7270000000000003"/>
  </r>
  <r>
    <s v="OK"/>
    <s v="Middle-East"/>
    <n v="1799"/>
    <s v="Listing fees"/>
    <s v="Fees paid to healthcare authorities in UAE and Kuwait through the distributor to register and renew the products and yearly renewal"/>
    <s v="Distributor"/>
    <s v="502570 BTLTradMerchAllowBusDvlGrowthIncentNewIntroListFee"/>
    <x v="1"/>
    <s v="351100 Listing / Slotting / Visibility Fees"/>
    <s v="N/A"/>
    <x v="0"/>
    <m/>
    <m/>
    <m/>
    <m/>
    <n v="0.13200000000000001"/>
    <n v="0.13200000000000001"/>
  </r>
  <r>
    <s v="OK"/>
    <s v="Middle-East"/>
    <n v="1799"/>
    <s v="Trade activity &amp; incentives"/>
    <s v="incentives paid to the distributr related to sales target"/>
    <s v="Distributor"/>
    <s v="502560 BTLTrade/MerchAllowBusDvlp/GrowthIncentActivitFreq"/>
    <x v="1"/>
    <s v="341508 Distributor / Wholesaler / Freight allowances - Non-SD"/>
    <s v="Non-SD"/>
    <x v="2"/>
    <m/>
    <n v="3.9"/>
    <n v="3.9"/>
    <n v="0"/>
    <n v="3.9"/>
    <n v="3.9"/>
  </r>
  <r>
    <s v="OK"/>
    <s v="Middle-East"/>
    <n v="1799"/>
    <s v="1-2-1 activity - FOC"/>
    <s v="FOC provided during 1-2-1 activities"/>
    <s v="Distributor"/>
    <s v="310010 Consumer Allowance"/>
    <x v="0"/>
    <s v="341308 Sales/Returns allowances - Non-SD"/>
    <s v="Non-SD"/>
    <x v="3"/>
    <m/>
    <n v="0.2"/>
    <n v="0.2"/>
    <n v="0"/>
    <n v="0.2"/>
    <n v="0.2"/>
  </r>
  <r>
    <s v="OK"/>
    <s v="Middle-East"/>
    <n v="1799"/>
    <s v="TME "/>
    <s v="Fees related to the implementation of the TME software"/>
    <s v="Distributor"/>
    <s v="502010 BTLSalesInformationPurchasePOPDataPOPDataPurchas"/>
    <x v="1"/>
    <s v="351500 Sales/Marketing Information Systems"/>
    <s v="N/A"/>
    <x v="0"/>
    <m/>
    <m/>
    <m/>
    <m/>
    <n v="0.1"/>
    <n v="0.1"/>
  </r>
  <r>
    <s v="OK"/>
    <s v="Middle-East"/>
    <n v="1799"/>
    <s v="HoReCa fees"/>
    <s v="contracts/ fees paid to the HoReCa through the Distributor for visibility, exclusivity, the right to activate (1-2-1) , POSM.."/>
    <s v="Distributor"/>
    <s v="502450 BTLTrade/MerchAllowShelfAllowShelfSpaceFee"/>
    <x v="1"/>
    <s v="351400 Retail Allowances"/>
    <s v="N/A"/>
    <x v="0"/>
    <m/>
    <m/>
    <m/>
    <m/>
    <n v="0.5"/>
    <n v="0.5"/>
  </r>
  <r>
    <s v="OK"/>
    <s v="Middle-East"/>
    <n v="1368"/>
    <s v="Shelves rental"/>
    <s v="contracts/ fees paid to the retail  to place POPM materials and for visibility , listing fees "/>
    <s v="Retailer"/>
    <s v="502450 BTLTrade/MerchAllowShelfAllowShelfSpaceFee"/>
    <x v="1"/>
    <s v="351400 Retail Allowances"/>
    <s v="N/A"/>
    <x v="0"/>
    <m/>
    <m/>
    <m/>
    <m/>
    <n v="1.7"/>
    <n v="1.7"/>
  </r>
  <r>
    <s v="OK"/>
    <s v="Middle-East"/>
    <n v="1368"/>
    <s v="HoReCa fees"/>
    <s v="contracts/ fees paid to the HoReCa for visibility, exclusivity, the right to activate (1-2-1) , POSM.."/>
    <s v="Retailer"/>
    <s v="502450 BTLTrade/MerchAllowShelfAllowShelfSpaceFee"/>
    <x v="1"/>
    <s v="351400 Retail Allowances"/>
    <s v="N/A"/>
    <x v="0"/>
    <m/>
    <m/>
    <m/>
    <m/>
    <n v="0.6"/>
    <n v="0.6"/>
  </r>
  <r>
    <s v="OK"/>
    <s v="Korea"/>
    <n v="1253"/>
    <s v="Slotting / Listing / Visibility Fees"/>
    <s v="Contracts with Key accounts &amp; Retailers on which we agree to pay a fee in order to have products placed on their shelves. Each contract has a portion of payment for visibility and availability (meaning lease fee for shelves to put products) by store type and space which is usally fixed amount per pacing and some contracts have a variable amount up to perfomance. The main purpose of the contracts is to make our product avaible on contracted stores and contracts are annual or multi-year agreements."/>
    <s v="Retailer"/>
    <s v="502450 BTLTrade/MerchAllowShelfAllowShelfSpaceFee"/>
    <x v="1"/>
    <s v="351100 Listing / Slotting / Visibility Fees"/>
    <s v="N/A"/>
    <x v="0"/>
    <m/>
    <m/>
    <m/>
    <m/>
    <n v="35.960083472702649"/>
    <n v="35.960083472702649"/>
  </r>
  <r>
    <s v="OK"/>
    <s v="Korea"/>
    <n v="1253"/>
    <s v="Trade Information Program"/>
    <s v="Agreements with key accounts on which they agree to provide us a set data of POS information with fixed amount based on contracts"/>
    <s v="Retailer"/>
    <s v="502010 BTLSalesInformationPurchasePOPDataPOPDataPurchas"/>
    <x v="1"/>
    <s v="351500 Sales/Marketing Information Systems"/>
    <s v="N/A"/>
    <x v="0"/>
    <m/>
    <m/>
    <m/>
    <m/>
    <n v="0.39593639575971701"/>
    <n v="0.39593639575971701"/>
  </r>
  <r>
    <s v="OK"/>
    <s v="Korea"/>
    <n v="1253"/>
    <s v="Exclusive venue fee/Lease fee to put vending machine in venue"/>
    <s v="Payments to trade (customers) for the exclusive sale of cigarettes in the venue (so called image shops) or lease fee of putting our vending machine in the venue with sales exclusivity (JTIK pays monthly lease fee for the space of vending machine which is owned by JTIK and the trade pays lease fee of our vending machine monthly based on a contract)"/>
    <s v="Retailer"/>
    <s v="502560 BTLTrade/MerchAllowBusDvlp/GrowthIncentActivitFreq"/>
    <x v="1"/>
    <s v="351100 Listing / Slotting / Visibility Fees"/>
    <s v="N/A"/>
    <x v="0"/>
    <m/>
    <m/>
    <m/>
    <m/>
    <n v="4.6996466431095403E-2"/>
    <n v="4.6996466431095403E-2"/>
  </r>
  <r>
    <s v="OK"/>
    <s v="Korea"/>
    <n v="1253"/>
    <s v="Military sales_credit card fee"/>
    <s v="Credit card fee upon sales to military agency to sell JTI products "/>
    <s v="Retailer"/>
    <s v="306015 Cash discount other"/>
    <x v="2"/>
    <s v="351100 Listing / Slotting / Visibility Fees"/>
    <s v="N/A"/>
    <x v="0"/>
    <m/>
    <m/>
    <m/>
    <m/>
    <n v="0.17407665636042399"/>
    <n v="0.17407665636042399"/>
  </r>
  <r>
    <s v="OK"/>
    <s v="Korea"/>
    <n v="1253"/>
    <s v="Price Differences"/>
    <s v="This is to capture different price between SAP and DSD (JTIK local system to deal with GT customers while SAP records sales by JTIK branch not by GT outlet). As an example, if JTIK got a return of obsolete SKU whose selling price is not available in SAP, we use most similar SKU in SAP which can result variance between SAP and invoice so this transaction has been posted based on sales order to offset the variance. "/>
    <s v="Retailer"/>
    <s v="308010 Trade Allowance"/>
    <x v="0"/>
    <s v="341308 Sales/Returns allowances - Non-SD"/>
    <s v="N/A"/>
    <x v="3"/>
    <m/>
    <n v="5.0000000000000001E-3"/>
    <n v="5.0000000000000001E-3"/>
    <n v="0"/>
    <n v="0"/>
    <n v="0"/>
  </r>
  <r>
    <s v="OK"/>
    <s v="Korea"/>
    <n v="1253"/>
    <s v="Freight Allowance"/>
    <s v="Freight allowances given to customers (Key accounts) - JTI pays for transportation of goods as JTI delivers products in KA HQ warehouses"/>
    <s v="Retailer"/>
    <s v="307010 Freight Allowance"/>
    <x v="0"/>
    <s v="341508 Distributor / Wholesaler / Freight allowances - Non-SD"/>
    <s v="Non-SD"/>
    <x v="2"/>
    <m/>
    <n v="5.7494925914708457"/>
    <n v="5.7494925914708457"/>
    <n v="0"/>
    <n v="5.7494925914708457"/>
    <n v="5.7494925914708457"/>
  </r>
  <r>
    <s v="OK"/>
    <s v="Malaysia"/>
    <n v="1129"/>
    <s v="Distributor Incentive"/>
    <s v="Fees paid to distributors field force to drive monthly volume target.The payment is on monthly basis, accordance to monthly target achievement and contractually agreed. Booked manually."/>
    <s v="Distributor"/>
    <s v="307015 Distribution allowance"/>
    <x v="0"/>
    <s v="341508 Distributor / Wholesaler / Freight allowances - Non-SD"/>
    <s v="Non-SD"/>
    <x v="2"/>
    <m/>
    <n v="0.7"/>
    <n v="0.7"/>
    <n v="0"/>
    <n v="0.7"/>
    <n v="0.7"/>
  </r>
  <r>
    <s v="OK"/>
    <s v="Malaysia"/>
    <n v="1129"/>
    <s v="ROI"/>
    <s v="Fees paid to distributors as a compensation to their unprofitable operating location which have lower volume and bigger geographical rural area. Annual contract agreement, distributors are guaranteed a return of % for their capital investment to business. Guaranteed return % are based on different geographical areas (8% Peninsular M'sia; 15% Sarawak; 20% Sabah)"/>
    <s v="Distributor"/>
    <s v="307015 Distribution allowance"/>
    <x v="0"/>
    <s v="341508 Distributor / Wholesaler / Freight allowances - Non-SD"/>
    <s v="Non-SD"/>
    <x v="2"/>
    <m/>
    <n v="0.5"/>
    <n v="0.5"/>
    <n v="0"/>
    <n v="0.5"/>
    <n v="0.5"/>
  </r>
  <r>
    <s v="OK"/>
    <s v="Malaysia"/>
    <n v="1129"/>
    <s v="KA distributor fees"/>
    <s v="Fees paid to distributors for their services of delivering and servicing on Key Accounts outlets. The payment is on monthly basis and distributors does not make margin out of the volume to these outlets. Booked manually."/>
    <s v="Distributor"/>
    <s v="307015 Distribution allowance"/>
    <x v="0"/>
    <s v="341508 Distributor / Wholesaler / Freight allowances - Non-SD"/>
    <s v="Non-SD"/>
    <x v="2"/>
    <m/>
    <n v="0.9"/>
    <n v="0.9"/>
    <n v="0"/>
    <n v="0.9"/>
    <n v="0.9"/>
  </r>
  <r>
    <s v="OK"/>
    <s v="Malaysia"/>
    <n v="1129"/>
    <s v="Distributor Incentive"/>
    <s v="Manual adjustment ( Accrual for Distributor Incentive) : Detailed description as per mentioned above"/>
    <s v="Distributor"/>
    <s v="307018 Distribution Commissions Manual Adjustment"/>
    <x v="0"/>
    <s v="341508 Distributor / Wholesaler / Freight allowances - Non-SD"/>
    <s v="Non-SD"/>
    <x v="2"/>
    <m/>
    <n v="1.3"/>
    <n v="1.3"/>
    <n v="0"/>
    <n v="1.3"/>
    <n v="1.3"/>
  </r>
  <r>
    <s v="OK"/>
    <s v="Malaysia"/>
    <n v="1129"/>
    <s v="ROI"/>
    <s v="Manual adjustment ( Accrual for ROI) : Detailed description as per mentioned above"/>
    <s v="Distributor"/>
    <s v="307018 Distribution Commissions Manual Adjustment"/>
    <x v="0"/>
    <s v="341508 Distributor / Wholesaler / Freight allowances - Non-SD"/>
    <s v="Non-SD"/>
    <x v="2"/>
    <m/>
    <n v="1.4"/>
    <n v="1.4"/>
    <n v="0"/>
    <n v="1.4"/>
    <n v="1.4"/>
  </r>
  <r>
    <s v="OK"/>
    <s v="Malaysia"/>
    <n v="1129"/>
    <s v="KA distributor fees"/>
    <s v="Manual adjustment ( Accrual for KA Dis'n fees) : Detailed description as per mentioned above"/>
    <s v="Distributor"/>
    <s v="307018 Distribution Commissions Manual Adjustment"/>
    <x v="0"/>
    <s v="341508 Distributor / Wholesaler / Freight allowances - Non-SD"/>
    <s v="Non-SD"/>
    <x v="2"/>
    <m/>
    <n v="0.1"/>
    <n v="0.1"/>
    <n v="0"/>
    <n v="0.1"/>
    <n v="0.1"/>
  </r>
  <r>
    <s v="OK"/>
    <s v="Malaysia"/>
    <n v="1129"/>
    <s v="Trade allowance"/>
    <s v="Trade discount to general trade within the industry is to ensure sufficient stock weight at retail, optimum distribution for key SKUs as well as for JTI to remain competitive. Booked manually."/>
    <s v="Retailer"/>
    <s v="501605 BTLTradePromTradeDirAppeal PrgmsTradeIncentives"/>
    <x v="1"/>
    <s v="351400 Retail Allowances"/>
    <s v="N/A"/>
    <x v="0"/>
    <m/>
    <m/>
    <m/>
    <m/>
    <n v="0.9"/>
    <n v="0.9"/>
  </r>
  <r>
    <s v="OK"/>
    <s v="Malaysia"/>
    <n v="1129"/>
    <s v="Permanent Trade POPM"/>
    <s v="Payment to retailer for permanently (more than one year) display of POPM "/>
    <s v="Retailer"/>
    <s v="502200 BTLTrade/MerchAllowancesPOPMPlacement-PermIndoor"/>
    <x v="1"/>
    <s v="351200 Trade POPMs Placement Fees - PERMANENT"/>
    <s v="N/A"/>
    <x v="0"/>
    <m/>
    <m/>
    <m/>
    <m/>
    <n v="0.8"/>
    <n v="0.8"/>
  </r>
  <r>
    <s v="OK"/>
    <s v="Malaysia"/>
    <n v="1129"/>
    <s v="Temporary Trade POPM"/>
    <s v="Payment to retailer for Temporary display of POPM "/>
    <s v="Retailer"/>
    <s v="502250 BTLTrade/MerchAllowancesPOPMPlcmnt-Non-PermIndoor"/>
    <x v="1"/>
    <s v="351300 Trade POPMs Placement Fees - TEMPORARY"/>
    <s v="N/A"/>
    <x v="0"/>
    <m/>
    <m/>
    <m/>
    <m/>
    <n v="0.3"/>
    <n v="0.3"/>
  </r>
  <r>
    <s v="OK"/>
    <s v="Malaysia"/>
    <n v="1129"/>
    <s v="Retainer Fees"/>
    <s v="Retainer fees for Leisure channel"/>
    <s v="Retailer"/>
    <s v="502450 BTLTrade/MerchAllowShelfAllowShelfSpaceFee"/>
    <x v="1"/>
    <s v="351100 Listing / Slotting / Visibility Fees"/>
    <s v="N/A"/>
    <x v="0"/>
    <m/>
    <m/>
    <m/>
    <m/>
    <n v="0.2"/>
    <n v="0.2"/>
  </r>
  <r>
    <s v="OK"/>
    <s v="Malaysia"/>
    <n v="1129"/>
    <s v="Retainer Fees"/>
    <s v="Retainer fees for Key account"/>
    <s v="Retailer"/>
    <s v="502500 BTLTrade/MerchAllowInStoreAllowDispl/POPMLocatnFee"/>
    <x v="1"/>
    <s v="351100 Listing / Slotting / Visibility Fees"/>
    <s v="N/A"/>
    <x v="0"/>
    <m/>
    <m/>
    <m/>
    <m/>
    <n v="12.5"/>
    <n v="12.5"/>
  </r>
  <r>
    <s v="OK"/>
    <s v="Malaysia"/>
    <n v="1129"/>
    <s v="Trade Reward"/>
    <s v="Reward point to retailer which allow them to redeem gift/cash voucher"/>
    <s v="Retailer"/>
    <s v="502500 BTLTrade/MerchAllowInStoreAllowDispl/POPMLocatnFee"/>
    <x v="1"/>
    <s v="351400 Retail Allowances"/>
    <s v="N/A"/>
    <x v="0"/>
    <m/>
    <m/>
    <m/>
    <m/>
    <n v="1.4"/>
    <n v="1.4"/>
  </r>
  <r>
    <s v="OK"/>
    <s v="Malaysia"/>
    <n v="1129"/>
    <s v="Trade Program"/>
    <s v="Payment to retailer for introduction of new brand/SKU - KPI base"/>
    <s v="Retailer"/>
    <s v="502500 BTLTrade/MerchAllowInStoreAllowDispl/POPMLocatnFee"/>
    <x v="1"/>
    <s v="351100 Listing / Slotting / Visibility Fees"/>
    <s v="N/A"/>
    <x v="0"/>
    <m/>
    <m/>
    <m/>
    <m/>
    <n v="0.9"/>
    <n v="0.9"/>
  </r>
  <r>
    <s v="OK"/>
    <s v="Malaysia"/>
    <n v="1129"/>
    <s v="Trade Program"/>
    <s v="Payment to Distributor for achieved in certain KPI (eg. volume)"/>
    <s v="Distributor"/>
    <s v="502550 BTLTrade/MerchAllowBusDvlp/GrowthIncentVolGrowth"/>
    <x v="1"/>
    <s v="341508 Distributor / Wholesaler / Freight allowances - Non-SD"/>
    <s v="Non-SD"/>
    <x v="2"/>
    <m/>
    <n v="0.4"/>
    <n v="0.4"/>
    <n v="0"/>
    <n v="0.4"/>
    <n v="0.4"/>
  </r>
  <r>
    <s v="OK"/>
    <s v="Asia Pacific"/>
    <n v="1279"/>
    <s v="Marketing Allowances"/>
    <s v="Distributor Partnet Personnel Sales Incentive for retailers"/>
    <s v="Retailer"/>
    <s v="501605 BTLTradePromTradeDirAppeal PrgmsTradeIncentives"/>
    <x v="1"/>
    <s v="351400 Retail Allowances"/>
    <s v="N/A"/>
    <x v="0"/>
    <m/>
    <m/>
    <m/>
    <m/>
    <m/>
    <m/>
  </r>
  <r>
    <s v="OK"/>
    <s v="Asia Pacific"/>
    <n v="1279"/>
    <s v="Marketing Allowances"/>
    <s v="Distributor Partnet Personnel Sales Incentive for wholesalers and distributors"/>
    <s v="Distributor"/>
    <s v="501605 BTLTradePromTradeDirAppeal PrgmsTradeIncentives"/>
    <x v="1"/>
    <s v="341508 Distributor / Wholesaler / Freight allowances - Non-SD"/>
    <s v="Non-SD"/>
    <x v="2"/>
    <m/>
    <n v="15"/>
    <n v="15"/>
    <n v="0"/>
    <m/>
    <m/>
  </r>
  <r>
    <s v="OK"/>
    <s v="Asia Pacific"/>
    <n v="1279"/>
    <s v="Marketing Allowances"/>
    <s v="Subsidy for KA, Retailer, Wholesaler and Retailer sales and orders portal"/>
    <s v="Retailer"/>
    <s v="502010 BTLSalesInformationPurchasePOPDataPOPDataPurchas"/>
    <x v="1"/>
    <s v="351500 Sales/Marketing Information Systems"/>
    <s v="N/A"/>
    <x v="0"/>
    <m/>
    <m/>
    <m/>
    <m/>
    <m/>
    <m/>
  </r>
  <r>
    <s v="OK"/>
    <s v="Asia Pacific"/>
    <n v="1279"/>
    <s v="Marketing Allowances"/>
    <s v="Display Allowances for competitor display shelf"/>
    <s v="Retailer"/>
    <s v="502450 BTLTrade/MerchAllowShelfAllowShelfSpaceFee"/>
    <x v="1"/>
    <s v="351100 Listing / Slotting / Visibility Fees"/>
    <s v="N/A"/>
    <x v="0"/>
    <m/>
    <m/>
    <m/>
    <m/>
    <m/>
    <m/>
  </r>
  <r>
    <s v="OK"/>
    <s v="Asia Pacific"/>
    <n v="1279"/>
    <s v="Marketing Allowances"/>
    <s v="Distribution Allowances"/>
    <s v="Retailer"/>
    <s v="502455 BTLTrade/MerchAllowShelfAllowDistributionMaintFee"/>
    <x v="1"/>
    <s v="341508 Distributor / Wholesaler / Freight allowances - Non-SD"/>
    <s v="Non-SD"/>
    <x v="2"/>
    <m/>
    <n v="5"/>
    <n v="5"/>
    <n v="0"/>
    <m/>
    <m/>
  </r>
  <r>
    <s v="OK"/>
    <s v="Asia Pacific"/>
    <n v="1279"/>
    <s v="Marketing Allowances"/>
    <s v="Display Allowance for POPM"/>
    <s v="Retailer"/>
    <s v="502500 BTLTrade/MerchAllowInStoreAllowDispl/POPMLocatnFee"/>
    <x v="1"/>
    <s v="351300 Trade POPMs Placement Fees - TEMPORARY"/>
    <s v="N/A"/>
    <x v="0"/>
    <m/>
    <m/>
    <m/>
    <m/>
    <m/>
    <m/>
  </r>
  <r>
    <s v="OK"/>
    <s v="Asia Pacific"/>
    <n v="1279"/>
    <s v="Marketing Allowances"/>
    <s v="Display Allowances for JTI display shelf"/>
    <s v="Retailer"/>
    <s v="502510 BTLTrade/MerchAllowInStoreAllowBackwallsfee"/>
    <x v="1"/>
    <s v="351100 Listing / Slotting / Visibility Fees"/>
    <s v="N/A"/>
    <x v="0"/>
    <m/>
    <m/>
    <m/>
    <m/>
    <m/>
    <m/>
  </r>
  <r>
    <s v="OK"/>
    <s v="Asia Pacific"/>
    <n v="1279"/>
    <s v="Marketing Allowances"/>
    <s v="Volume Incentives"/>
    <s v="Retailer"/>
    <s v="502550 BTLTrade/MerchAllowBusDvlp/GrowthIncentVolGrowth"/>
    <x v="1"/>
    <s v="351400 Retail Allowances"/>
    <s v="N/A"/>
    <x v="0"/>
    <m/>
    <m/>
    <m/>
    <m/>
    <m/>
    <m/>
  </r>
  <r>
    <s v="OK"/>
    <s v="Asia Pacific"/>
    <n v="1279"/>
    <s v="Marketing Allowances"/>
    <s v="Listing Fees for new products"/>
    <s v="Retailer"/>
    <s v="502570 BTLTradMerchAllowBusDvlGrowthIncentNewIntroListFee"/>
    <x v="1"/>
    <s v="351100 Listing / Slotting / Visibility Fees"/>
    <s v="N/A"/>
    <x v="0"/>
    <m/>
    <m/>
    <m/>
    <m/>
    <m/>
    <m/>
  </r>
  <r>
    <s v="OK"/>
    <s v="Asia Pacific"/>
    <n v="1279"/>
    <s v="Trade Allowances"/>
    <s v="Distributor Discount - based on agreed ROS"/>
    <s v="Distributor"/>
    <s v="307015 Distribution allowance"/>
    <x v="0"/>
    <s v="341508 Distributor / Wholesaler / Freight allowances - Non-SD"/>
    <s v="Non-SD"/>
    <x v="2"/>
    <m/>
    <n v="16.7"/>
    <n v="16.7"/>
    <n v="0"/>
    <n v="16.7"/>
    <n v="16.7"/>
  </r>
  <r>
    <s v="OK"/>
    <s v="Asia Pacific"/>
    <n v="1279"/>
    <s v="Trade Allowances"/>
    <s v="Distributor Cash Discount - based on agreed ROS"/>
    <s v="Distributor"/>
    <s v="307018 Distribution Commissions Manual Adjustment"/>
    <x v="0"/>
    <s v="341508 Distributor / Wholesaler / Freight allowances - Non-SD"/>
    <s v="Non-SD"/>
    <x v="2"/>
    <m/>
    <n v="0.1"/>
    <n v="0.1"/>
    <n v="0"/>
    <n v="0.1"/>
    <n v="0.1"/>
  </r>
  <r>
    <s v="OK"/>
    <s v="Asia Pacific"/>
    <n v="1279"/>
    <s v="Trade Allowances"/>
    <s v="Price Discount given to retailers to compensate for reduced RRP to consumers booked through SD"/>
    <s v="Retailer"/>
    <s v="308010 Trade Allowance"/>
    <x v="0"/>
    <s v="341100 Consumer allowances - SD"/>
    <s v="SD"/>
    <x v="1"/>
    <n v="11"/>
    <m/>
    <m/>
    <m/>
    <m/>
    <m/>
  </r>
  <r>
    <s v="OK"/>
    <s v="Asia Pacific"/>
    <n v="1279"/>
    <s v="Trade Allowances"/>
    <s v="Price Discount given to retailers to compensate for reduced RRP to consumers booked via customer invoice or SRT"/>
    <s v="Retailer"/>
    <s v="308012 Tactical Promotional Payments"/>
    <x v="0"/>
    <s v="341108 Consumer allowances - Non-SD"/>
    <s v="Non-SD"/>
    <x v="1"/>
    <m/>
    <n v="0.6"/>
    <n v="0.6"/>
    <n v="0"/>
    <m/>
    <m/>
  </r>
  <r>
    <s v="OK"/>
    <s v="Asia Pacific"/>
    <n v="1279"/>
    <s v="Trade Allowances"/>
    <s v="TITP "/>
    <s v="Retailer"/>
    <s v="308020 Trade Incentive Tob Prod Allowance"/>
    <x v="0"/>
    <s v="341400 TITP allowances - SD"/>
    <s v="SD"/>
    <x v="3"/>
    <n v="20"/>
    <m/>
    <m/>
    <m/>
    <n v="20"/>
    <n v="20"/>
  </r>
  <r>
    <s v="OK"/>
    <s v="Asia Pacific"/>
    <n v="1279"/>
    <s v="Trade Allowances"/>
    <s v="Subsidy for Retailer, Wholesaler and Retailer Bank Fees"/>
    <s v="Retailer"/>
    <s v="308070 Customer / Distributor Bank Fees"/>
    <x v="0"/>
    <s v="341508 Distributor / Wholesaler / Freight allowances - Non-SD"/>
    <s v="Non-SD"/>
    <x v="2"/>
    <m/>
    <n v="1.3"/>
    <n v="1.3"/>
    <n v="0"/>
    <n v="1.3"/>
    <n v="1.3"/>
  </r>
  <r>
    <s v="OK"/>
    <s v="Sub-Saharan Africa+"/>
    <n v="1317"/>
    <s v="TITP"/>
    <s v="Our Entity is not yet on SAP. Technical go live is scheduled for Aug 2018. _x000a_ Free goods (tobacco) is given to customer (Distributor). SRT will be raised to offset the free goods from Sales and Cost of Sales, and the transfer the cost of the free goods to Commissions. TITP still forms part of volume for the period._x000a_This is also applicable to Other West African markets (linked to 1799 entity). Total TITP budget for West Africa as at June LE is  $3.0MM"/>
    <s v="Distributor"/>
    <s v="308018 Trade Allowance Manual Adjustments"/>
    <x v="0"/>
    <s v="341400 TITP allowances - SD"/>
    <s v="SD"/>
    <x v="3"/>
    <n v="0.9"/>
    <m/>
    <m/>
    <m/>
    <n v="0.9"/>
    <n v="0.9"/>
  </r>
  <r>
    <s v="OK"/>
    <s v="Sub-Saharan Africa+"/>
    <n v="1799"/>
    <s v="Price Allowances"/>
    <s v="This occurs in the Guinea Market (linked to 1799). Based on the review of postings in SAP, we noticed that for each sale of Aspen an amount of $0.5/KU is deducted from the sales price."/>
    <s v="Distributor"/>
    <s v="308010 Trade Allowance"/>
    <x v="0"/>
    <s v="341500 Distributor / Wholesaler / Freight allowances - SD"/>
    <s v="Non-SD"/>
    <x v="2"/>
    <n v="3.0000000000000001E-3"/>
    <m/>
    <m/>
    <m/>
    <n v="3.0000000000000001E-3"/>
    <n v="3.0000000000000001E-3"/>
  </r>
  <r>
    <s v="OK"/>
    <s v="Shisha International"/>
    <n v="1368"/>
    <s v="Marketing Allowance"/>
    <s v="Amount charged by and paid to the Retailers for services to increase brand and/or product visibility as per agreements:                                            -Creating or maintaining space for a product on its store shelves                                 - Exclusivity Fees"/>
    <s v="Retailer"/>
    <s v="502450 BTLTrade/MerchAllowShelfAllowShelfSpaceFee"/>
    <x v="1"/>
    <s v="351100 Listing / Slotting / Visibility Fees"/>
    <s v="N/A"/>
    <x v="0"/>
    <m/>
    <m/>
    <m/>
    <m/>
    <m/>
    <m/>
  </r>
  <r>
    <s v="OK"/>
    <s v="Shisha International"/>
    <n v="1355"/>
    <s v="Marketing Allowance"/>
    <s v="Amount charged by and paid to the Retailers for services to increase brand and/or product visibility as per agreements:                                            -Creating or maintaining space for a product on its store shelves                                                            - Exclusivity Fees"/>
    <s v="Retailer"/>
    <s v="502450 BTLTrade/MerchAllowShelfAllowShelfSpaceFee"/>
    <x v="1"/>
    <s v="351100 Listing / Slotting / Visibility Fees"/>
    <s v="N/A"/>
    <x v="0"/>
    <m/>
    <m/>
    <m/>
    <m/>
    <m/>
    <m/>
  </r>
  <r>
    <s v="OK"/>
    <s v="Shisha International"/>
    <n v="1355"/>
    <s v="Marketing Allowance"/>
    <s v="Fees paid to a Retailer to allow JTI to place POPM materials in and outside of shops on a PERMANENT basis. "/>
    <s v="Retailer"/>
    <s v="502200 BTLTrade/MerchAllowancesPOPMPlacement-PermIndoor"/>
    <x v="1"/>
    <s v="351200 Trade POPMs Placement Fees - PERMANENT"/>
    <s v="N/A"/>
    <x v="0"/>
    <m/>
    <m/>
    <m/>
    <m/>
    <m/>
    <m/>
  </r>
  <r>
    <s v="OK"/>
    <s v="Shisha International"/>
    <n v="1355"/>
    <s v="Marketing Allowance"/>
    <s v="Fees paid to a Retailer to allow JTI to place POPM materials in and outside of shops on a PERMANENT basis. "/>
    <s v="Retailer"/>
    <s v="502205 BTLTrade/MerchAllowancesPOPMPlacement-PermOutdoor"/>
    <x v="1"/>
    <s v="351200 Trade POPMs Placement Fees - PERMANENT"/>
    <s v="N/A"/>
    <x v="0"/>
    <m/>
    <m/>
    <m/>
    <m/>
    <m/>
    <m/>
  </r>
  <r>
    <s v="OK"/>
    <s v="Shisha International"/>
    <n v="1355"/>
    <s v="Marketing Allowance"/>
    <s v="Fees paid to a Retailer to allow JTI to place POPM materials in and outside of shops on a TEMPORARY basis. "/>
    <s v="Retailer"/>
    <s v="502500 BTLTrade/MerchAllowInStoreAllowDispl/POPMLocatnFee"/>
    <x v="1"/>
    <s v="351300 Trade POPMs Placement Fees - TEMPORARY"/>
    <s v="N/A"/>
    <x v="0"/>
    <m/>
    <m/>
    <m/>
    <m/>
    <m/>
    <m/>
  </r>
  <r>
    <s v="OK"/>
    <s v="Shisha International"/>
    <n v="1355"/>
    <s v="Marketing Allowance"/>
    <s v="incentives paid to wholesale/distributor related to building volumes, achieving certain levels of sales, to guarantee a certain level of profit, etc"/>
    <s v="Distributor"/>
    <s v="502550 BTLTrade/MerchAllowBusDvlp/GrowthIncentVolGrowth"/>
    <x v="1"/>
    <s v="341500 Distributor / Wholesaler / Freight allowances - SD"/>
    <s v="SD"/>
    <x v="2"/>
    <m/>
    <m/>
    <m/>
    <m/>
    <m/>
    <m/>
  </r>
  <r>
    <s v="OK"/>
    <s v="Shisha International"/>
    <n v="1355"/>
    <s v="Marketing Allowance"/>
    <s v="Discounts given to or intended for the Retailer on sale of products either directly or indirectly that are booked through SD. "/>
    <s v="Retailer"/>
    <s v="502555 BTLTrade/MerchAllowBusDvlp/GrowthIncentDistrGains"/>
    <x v="1"/>
    <s v="351400 Retail Allowances"/>
    <s v="N/A"/>
    <x v="0"/>
    <m/>
    <m/>
    <m/>
    <m/>
    <m/>
    <m/>
  </r>
  <r>
    <s v="OK"/>
    <s v="Shisha International"/>
    <n v="1355"/>
    <s v="Marketing Allowance"/>
    <s v="incentives paid to wholesale/distributor related to building volumes, achieving certain levels of sales, to guarantee a certain level of profit, etc"/>
    <s v="Distributor"/>
    <s v="501605 BTLTradePromTradeDirAppeal PrgmsTradeIncentives"/>
    <x v="1"/>
    <s v="341500 Distributor / Wholesaler / Freight allowances - SD"/>
    <s v="SD"/>
    <x v="2"/>
    <m/>
    <m/>
    <m/>
    <m/>
    <m/>
    <m/>
  </r>
  <r>
    <s v="OK"/>
    <s v="Shisha International"/>
    <n v="1355"/>
    <s v="Marketing Allowance"/>
    <s v="incentives paid to wholesale/distributor related to building volumes, achieving certain levels of sales, to guarantee a certain level of profit, etc"/>
    <s v="Distributor"/>
    <s v="307015 Distribution allowance"/>
    <x v="0"/>
    <s v="341500 Distributor / Wholesaler / Freight allowances - SD"/>
    <s v="SD"/>
    <x v="2"/>
    <m/>
    <m/>
    <m/>
    <m/>
    <m/>
    <m/>
  </r>
  <r>
    <s v="OK"/>
    <s v="Shisha International"/>
    <n v="1368"/>
    <s v="Marketing Allowance"/>
    <s v="Fees paid to a Retailer to allow JTI to place POPM materials in and outside of shops on a PERMANENT basis. "/>
    <s v="Retailer"/>
    <s v="502450 BTLTrade/MerchAllowShelfAllowShelfSpaceFee"/>
    <x v="1"/>
    <s v="351200 Trade POPMs Placement Fees - PERMANENT"/>
    <s v="N/A"/>
    <x v="0"/>
    <m/>
    <m/>
    <m/>
    <m/>
    <m/>
    <m/>
  </r>
  <r>
    <s v="OK"/>
    <s v="Shisha International"/>
    <n v="1368"/>
    <s v="Marketing Allowance"/>
    <s v="Fees paid to a Retailer to allow JTI to place POPM materials in and outside of shops on a TEMPORARY basis. "/>
    <s v="Retailer"/>
    <s v="502450 BTLTrade/MerchAllowShelfAllowShelfSpaceFee"/>
    <x v="1"/>
    <s v="351300 Trade POPMs Placement Fees - TEMPORARY"/>
    <s v="N/A"/>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S10" firstHeaderRow="1" firstDataRow="3" firstDataCol="1"/>
  <pivotFields count="17">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axis="axisCol" showAll="0">
      <items count="6">
        <item x="2"/>
        <item x="0"/>
        <item x="1"/>
        <item x="3"/>
        <item x="4"/>
        <item t="default"/>
      </items>
    </pivotField>
    <pivotField dataField="1" showAll="0"/>
    <pivotField dataField="1" showAll="0"/>
    <pivotField showAll="0"/>
    <pivotField showAll="0"/>
    <pivotField showAll="0"/>
    <pivotField dataField="1" showAll="0" defaultSubtotal="0"/>
  </pivotFields>
  <rowFields count="1">
    <field x="7"/>
  </rowFields>
  <rowItems count="5">
    <i>
      <x/>
    </i>
    <i>
      <x v="1"/>
    </i>
    <i>
      <x v="2"/>
    </i>
    <i>
      <x v="3"/>
    </i>
    <i t="grand">
      <x/>
    </i>
  </rowItems>
  <colFields count="2">
    <field x="10"/>
    <field x="-2"/>
  </colFields>
  <colItems count="18">
    <i>
      <x/>
      <x/>
    </i>
    <i r="1" i="1">
      <x v="1"/>
    </i>
    <i r="1" i="2">
      <x v="2"/>
    </i>
    <i>
      <x v="1"/>
      <x/>
    </i>
    <i r="1" i="1">
      <x v="1"/>
    </i>
    <i r="1" i="2">
      <x v="2"/>
    </i>
    <i>
      <x v="2"/>
      <x/>
    </i>
    <i r="1" i="1">
      <x v="1"/>
    </i>
    <i r="1" i="2">
      <x v="2"/>
    </i>
    <i>
      <x v="3"/>
      <x/>
    </i>
    <i r="1" i="1">
      <x v="1"/>
    </i>
    <i r="1" i="2">
      <x v="2"/>
    </i>
    <i>
      <x v="4"/>
      <x/>
    </i>
    <i r="1" i="1">
      <x v="1"/>
    </i>
    <i r="1" i="2">
      <x v="2"/>
    </i>
    <i t="grand">
      <x/>
    </i>
    <i t="grand" i="1">
      <x/>
    </i>
    <i t="grand" i="2">
      <x/>
    </i>
  </colItems>
  <dataFields count="3">
    <dataField name="Sum of SD" fld="11" baseField="7" baseItem="0"/>
    <dataField name="Sum of Non-SD" fld="12" baseField="7" baseItem="0"/>
    <dataField name="Sum of New MA" fld="16" baseField="7" baseItem="2"/>
  </dataFields>
  <formats count="7">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JTI">
      <a:dk1>
        <a:srgbClr val="122632"/>
      </a:dk1>
      <a:lt1>
        <a:srgbClr val="FFFFFF"/>
      </a:lt1>
      <a:dk2>
        <a:srgbClr val="8F9195"/>
      </a:dk2>
      <a:lt2>
        <a:srgbClr val="00674E"/>
      </a:lt2>
      <a:accent1>
        <a:srgbClr val="6FA478"/>
      </a:accent1>
      <a:accent2>
        <a:srgbClr val="B0D121"/>
      </a:accent2>
      <a:accent3>
        <a:srgbClr val="4D5C65"/>
      </a:accent3>
      <a:accent4>
        <a:srgbClr val="7ECEAA"/>
      </a:accent4>
      <a:accent5>
        <a:srgbClr val="408D7A"/>
      </a:accent5>
      <a:accent6>
        <a:srgbClr val="D7E890"/>
      </a:accent6>
      <a:hlink>
        <a:srgbClr val="00674E"/>
      </a:hlink>
      <a:folHlink>
        <a:srgbClr val="8F919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79E5-1808-4E28-BBBE-EA806107174A}">
  <dimension ref="A1:D3"/>
  <sheetViews>
    <sheetView workbookViewId="0">
      <selection activeCell="B14" sqref="B14"/>
    </sheetView>
  </sheetViews>
  <sheetFormatPr defaultRowHeight="15" x14ac:dyDescent="0.25"/>
  <cols>
    <col min="1" max="1" width="13.7109375" customWidth="1"/>
    <col min="2" max="2" width="78.5703125" customWidth="1"/>
    <col min="3" max="3" width="29.5703125" customWidth="1"/>
    <col min="4" max="4" width="18.5703125" customWidth="1"/>
  </cols>
  <sheetData>
    <row r="1" spans="1:4" x14ac:dyDescent="0.25">
      <c r="A1" s="250" t="s">
        <v>1515</v>
      </c>
      <c r="B1" s="250" t="s">
        <v>1516</v>
      </c>
      <c r="C1" s="250" t="s">
        <v>1517</v>
      </c>
      <c r="D1" s="250" t="s">
        <v>1518</v>
      </c>
    </row>
    <row r="2" spans="1:4" ht="51.6" customHeight="1" x14ac:dyDescent="0.25">
      <c r="A2" s="251" t="s">
        <v>1519</v>
      </c>
      <c r="B2" s="251" t="s">
        <v>1520</v>
      </c>
      <c r="C2" s="251" t="s">
        <v>1521</v>
      </c>
      <c r="D2" s="252">
        <v>43556</v>
      </c>
    </row>
    <row r="3" spans="1:4" ht="28.5" x14ac:dyDescent="0.25">
      <c r="A3" s="251" t="s">
        <v>1522</v>
      </c>
      <c r="B3" s="251" t="s">
        <v>1523</v>
      </c>
      <c r="C3" s="251" t="s">
        <v>1524</v>
      </c>
      <c r="D3" s="252" t="s">
        <v>1525</v>
      </c>
    </row>
  </sheetData>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609"/>
  <sheetViews>
    <sheetView tabSelected="1" topLeftCell="G1" zoomScale="80" zoomScaleNormal="80" workbookViewId="0">
      <pane ySplit="1" topLeftCell="A44" activePane="bottomLeft" state="frozen"/>
      <selection pane="bottomLeft" activeCell="Q4" sqref="Q4"/>
    </sheetView>
  </sheetViews>
  <sheetFormatPr defaultRowHeight="15" x14ac:dyDescent="0.25"/>
  <cols>
    <col min="1" max="1" width="18.28515625" style="104" customWidth="1"/>
    <col min="2" max="2" width="19.7109375" customWidth="1"/>
    <col min="3" max="3" width="13.28515625" customWidth="1"/>
    <col min="4" max="4" width="19.140625" customWidth="1"/>
    <col min="5" max="5" width="46.42578125" customWidth="1"/>
    <col min="6" max="6" width="16.42578125" customWidth="1"/>
    <col min="7" max="7" width="23.28515625" customWidth="1"/>
    <col min="8" max="8" width="16.42578125" customWidth="1"/>
    <col min="9" max="9" width="23.42578125" customWidth="1"/>
    <col min="10" max="10" width="10" customWidth="1"/>
    <col min="11" max="11" width="16.42578125" customWidth="1"/>
    <col min="12" max="15" width="14.28515625" customWidth="1"/>
    <col min="16" max="17" width="15.85546875" customWidth="1"/>
    <col min="18" max="18" width="35.85546875" customWidth="1"/>
    <col min="19" max="19" width="20" customWidth="1"/>
    <col min="20" max="20" width="26.85546875" style="77" customWidth="1"/>
    <col min="21" max="22" width="20" customWidth="1"/>
    <col min="23" max="23" width="25.7109375" customWidth="1"/>
  </cols>
  <sheetData>
    <row r="1" spans="1:23" ht="75.75" thickBot="1" x14ac:dyDescent="0.3">
      <c r="A1" s="102" t="s">
        <v>55</v>
      </c>
      <c r="B1" s="51" t="s">
        <v>0</v>
      </c>
      <c r="C1" s="37" t="s">
        <v>1</v>
      </c>
      <c r="D1" s="40" t="s">
        <v>2</v>
      </c>
      <c r="E1" s="34" t="s">
        <v>3</v>
      </c>
      <c r="F1" s="41" t="s">
        <v>4</v>
      </c>
      <c r="G1" s="40" t="s">
        <v>5</v>
      </c>
      <c r="H1" s="41" t="s">
        <v>6</v>
      </c>
      <c r="I1" s="50" t="s">
        <v>7</v>
      </c>
      <c r="J1" s="33" t="s">
        <v>8</v>
      </c>
      <c r="K1" s="37" t="s">
        <v>9</v>
      </c>
      <c r="L1" s="51" t="s">
        <v>10</v>
      </c>
      <c r="M1" s="35" t="s">
        <v>11</v>
      </c>
      <c r="N1" s="35" t="s">
        <v>12</v>
      </c>
      <c r="O1" s="36" t="s">
        <v>13</v>
      </c>
      <c r="P1" s="52" t="s">
        <v>14</v>
      </c>
      <c r="Q1" s="52" t="s">
        <v>1219</v>
      </c>
      <c r="R1" s="62" t="s">
        <v>15</v>
      </c>
      <c r="S1" s="50" t="s">
        <v>16</v>
      </c>
      <c r="T1" s="33" t="s">
        <v>17</v>
      </c>
      <c r="U1" s="33" t="s">
        <v>18</v>
      </c>
      <c r="V1" s="33" t="s">
        <v>19</v>
      </c>
      <c r="W1" s="37" t="s">
        <v>20</v>
      </c>
    </row>
    <row r="2" spans="1:23" ht="42.75" customHeight="1" x14ac:dyDescent="0.25">
      <c r="A2" s="94" t="s">
        <v>56</v>
      </c>
      <c r="B2" s="18" t="s">
        <v>32</v>
      </c>
      <c r="C2" s="23">
        <v>2102</v>
      </c>
      <c r="D2" s="42" t="s">
        <v>33</v>
      </c>
      <c r="E2" s="19" t="s">
        <v>34</v>
      </c>
      <c r="F2" s="23" t="s">
        <v>26</v>
      </c>
      <c r="G2" s="42" t="s">
        <v>35</v>
      </c>
      <c r="H2" s="46" t="s">
        <v>36</v>
      </c>
      <c r="I2" s="42" t="s">
        <v>37</v>
      </c>
      <c r="J2" s="20" t="s">
        <v>38</v>
      </c>
      <c r="K2" s="46" t="s">
        <v>39</v>
      </c>
      <c r="L2" s="53"/>
      <c r="M2" s="21"/>
      <c r="N2" s="21"/>
      <c r="O2" s="21"/>
      <c r="P2" s="54"/>
      <c r="Q2" s="54">
        <v>7.5</v>
      </c>
      <c r="R2" s="63" t="s">
        <v>40</v>
      </c>
      <c r="S2" s="67" t="s">
        <v>41</v>
      </c>
      <c r="T2" s="20" t="s">
        <v>150</v>
      </c>
      <c r="U2" s="19" t="s">
        <v>43</v>
      </c>
      <c r="V2" s="19" t="s">
        <v>37</v>
      </c>
      <c r="W2" s="23"/>
    </row>
    <row r="3" spans="1:23" ht="57" customHeight="1" x14ac:dyDescent="0.25">
      <c r="A3" s="95" t="s">
        <v>56</v>
      </c>
      <c r="B3" s="24" t="s">
        <v>32</v>
      </c>
      <c r="C3" s="25">
        <v>2102</v>
      </c>
      <c r="D3" s="43" t="s">
        <v>44</v>
      </c>
      <c r="E3" s="1" t="s">
        <v>45</v>
      </c>
      <c r="F3" s="25" t="s">
        <v>46</v>
      </c>
      <c r="G3" s="43" t="s">
        <v>47</v>
      </c>
      <c r="H3" s="47" t="s">
        <v>36</v>
      </c>
      <c r="I3" s="43" t="s">
        <v>48</v>
      </c>
      <c r="J3" s="2" t="s">
        <v>10</v>
      </c>
      <c r="K3" s="47" t="s">
        <v>49</v>
      </c>
      <c r="L3" s="55">
        <v>0.1</v>
      </c>
      <c r="M3" s="5"/>
      <c r="N3" s="5"/>
      <c r="O3" s="5"/>
      <c r="P3" s="56"/>
      <c r="Q3" s="56"/>
      <c r="R3" s="64" t="s">
        <v>50</v>
      </c>
      <c r="S3" s="68" t="s">
        <v>41</v>
      </c>
      <c r="T3" s="2" t="s">
        <v>150</v>
      </c>
      <c r="U3" s="1" t="s">
        <v>43</v>
      </c>
      <c r="V3" s="1" t="s">
        <v>48</v>
      </c>
      <c r="W3" s="25"/>
    </row>
    <row r="4" spans="1:23" ht="57" customHeight="1" x14ac:dyDescent="0.25">
      <c r="A4" s="95" t="s">
        <v>56</v>
      </c>
      <c r="B4" s="24" t="s">
        <v>32</v>
      </c>
      <c r="C4" s="25">
        <v>2102</v>
      </c>
      <c r="D4" s="43" t="s">
        <v>44</v>
      </c>
      <c r="E4" s="1" t="s">
        <v>45</v>
      </c>
      <c r="F4" s="25" t="s">
        <v>46</v>
      </c>
      <c r="G4" s="43" t="s">
        <v>47</v>
      </c>
      <c r="H4" s="47" t="s">
        <v>36</v>
      </c>
      <c r="I4" s="43" t="s">
        <v>51</v>
      </c>
      <c r="J4" s="2" t="s">
        <v>11</v>
      </c>
      <c r="K4" s="47" t="s">
        <v>49</v>
      </c>
      <c r="L4" s="57"/>
      <c r="M4" s="3">
        <v>0.1</v>
      </c>
      <c r="N4" s="3">
        <v>0.1</v>
      </c>
      <c r="O4" s="3">
        <v>0</v>
      </c>
      <c r="P4" s="56"/>
      <c r="Q4" s="56"/>
      <c r="R4" s="64" t="s">
        <v>50</v>
      </c>
      <c r="S4" s="68" t="s">
        <v>41</v>
      </c>
      <c r="T4" s="2" t="s">
        <v>150</v>
      </c>
      <c r="U4" s="1" t="s">
        <v>43</v>
      </c>
      <c r="V4" s="1" t="s">
        <v>51</v>
      </c>
      <c r="W4" s="25"/>
    </row>
    <row r="5" spans="1:23" ht="57" customHeight="1" thickBot="1" x14ac:dyDescent="0.3">
      <c r="A5" s="96" t="s">
        <v>56</v>
      </c>
      <c r="B5" s="26" t="s">
        <v>32</v>
      </c>
      <c r="C5" s="32">
        <v>2102</v>
      </c>
      <c r="D5" s="44" t="s">
        <v>52</v>
      </c>
      <c r="E5" s="27" t="s">
        <v>53</v>
      </c>
      <c r="F5" s="32" t="s">
        <v>26</v>
      </c>
      <c r="G5" s="44" t="s">
        <v>29</v>
      </c>
      <c r="H5" s="48" t="s">
        <v>39</v>
      </c>
      <c r="I5" s="44" t="s">
        <v>30</v>
      </c>
      <c r="J5" s="28" t="s">
        <v>38</v>
      </c>
      <c r="K5" s="48" t="s">
        <v>39</v>
      </c>
      <c r="L5" s="58"/>
      <c r="M5" s="29"/>
      <c r="N5" s="29"/>
      <c r="O5" s="29"/>
      <c r="P5" s="59"/>
      <c r="Q5" s="59"/>
      <c r="R5" s="65" t="s">
        <v>54</v>
      </c>
      <c r="S5" s="69" t="s">
        <v>41</v>
      </c>
      <c r="T5" s="28" t="s">
        <v>150</v>
      </c>
      <c r="U5" s="27" t="s">
        <v>43</v>
      </c>
      <c r="V5" s="27" t="s">
        <v>30</v>
      </c>
      <c r="W5" s="32"/>
    </row>
    <row r="6" spans="1:23" ht="49.5" customHeight="1" x14ac:dyDescent="0.25">
      <c r="A6" s="103" t="s">
        <v>56</v>
      </c>
      <c r="B6" s="38" t="s">
        <v>86</v>
      </c>
      <c r="C6" s="39">
        <v>1118</v>
      </c>
      <c r="D6" s="45" t="s">
        <v>114</v>
      </c>
      <c r="E6" s="16" t="s">
        <v>115</v>
      </c>
      <c r="F6" s="39" t="s">
        <v>31</v>
      </c>
      <c r="G6" s="45" t="s">
        <v>116</v>
      </c>
      <c r="H6" s="49" t="s">
        <v>119</v>
      </c>
      <c r="I6" s="45" t="s">
        <v>117</v>
      </c>
      <c r="J6" s="17" t="s">
        <v>10</v>
      </c>
      <c r="K6" s="49" t="s">
        <v>120</v>
      </c>
      <c r="L6" s="60">
        <v>14.1</v>
      </c>
      <c r="M6" s="71"/>
      <c r="N6" s="71"/>
      <c r="O6" s="71"/>
      <c r="P6" s="61"/>
      <c r="Q6" s="61">
        <v>13.8</v>
      </c>
      <c r="R6" s="66" t="s">
        <v>118</v>
      </c>
      <c r="S6" s="70" t="s">
        <v>41</v>
      </c>
      <c r="T6" s="17" t="s">
        <v>150</v>
      </c>
      <c r="U6" s="16" t="s">
        <v>43</v>
      </c>
      <c r="V6" s="16"/>
      <c r="W6" s="39"/>
    </row>
    <row r="7" spans="1:23" ht="57" customHeight="1" x14ac:dyDescent="0.25">
      <c r="A7" s="95" t="s">
        <v>56</v>
      </c>
      <c r="B7" s="24" t="str">
        <f t="shared" ref="B7:B17" si="0">IF(B6="","",IF(OR(G7&lt;&gt;"",I7&lt;&gt;""),B6,""))</f>
        <v>Canada</v>
      </c>
      <c r="C7" s="25">
        <v>1118</v>
      </c>
      <c r="D7" s="43" t="s">
        <v>121</v>
      </c>
      <c r="E7" s="1" t="s">
        <v>115</v>
      </c>
      <c r="F7" s="25" t="s">
        <v>31</v>
      </c>
      <c r="G7" s="43" t="s">
        <v>122</v>
      </c>
      <c r="H7" s="47" t="s">
        <v>119</v>
      </c>
      <c r="I7" s="43" t="s">
        <v>24</v>
      </c>
      <c r="J7" s="2" t="s">
        <v>11</v>
      </c>
      <c r="K7" s="47" t="s">
        <v>120</v>
      </c>
      <c r="L7" s="57"/>
      <c r="M7" s="3">
        <v>0.01</v>
      </c>
      <c r="N7" s="3">
        <v>0</v>
      </c>
      <c r="O7" s="3">
        <v>0</v>
      </c>
      <c r="P7" s="56"/>
      <c r="Q7" s="56"/>
      <c r="R7" s="64" t="s">
        <v>118</v>
      </c>
      <c r="S7" s="68" t="s">
        <v>41</v>
      </c>
      <c r="T7" s="2" t="s">
        <v>150</v>
      </c>
      <c r="U7" s="1" t="s">
        <v>43</v>
      </c>
      <c r="V7" s="1"/>
      <c r="W7" s="25"/>
    </row>
    <row r="8" spans="1:23" ht="57" customHeight="1" x14ac:dyDescent="0.25">
      <c r="A8" s="95" t="s">
        <v>56</v>
      </c>
      <c r="B8" s="24" t="str">
        <f t="shared" si="0"/>
        <v>Canada</v>
      </c>
      <c r="C8" s="25">
        <v>1118</v>
      </c>
      <c r="D8" s="43" t="s">
        <v>123</v>
      </c>
      <c r="E8" s="1" t="s">
        <v>124</v>
      </c>
      <c r="F8" s="25" t="s">
        <v>26</v>
      </c>
      <c r="G8" s="43" t="s">
        <v>29</v>
      </c>
      <c r="H8" s="47" t="s">
        <v>39</v>
      </c>
      <c r="I8" s="43" t="s">
        <v>37</v>
      </c>
      <c r="J8" s="2" t="s">
        <v>38</v>
      </c>
      <c r="K8" s="47" t="s">
        <v>39</v>
      </c>
      <c r="L8" s="57"/>
      <c r="M8" s="5"/>
      <c r="N8" s="5"/>
      <c r="O8" s="5"/>
      <c r="P8" s="56">
        <v>0</v>
      </c>
      <c r="Q8" s="56">
        <v>0</v>
      </c>
      <c r="R8" s="64" t="s">
        <v>125</v>
      </c>
      <c r="S8" s="68" t="s">
        <v>41</v>
      </c>
      <c r="T8" s="2" t="s">
        <v>150</v>
      </c>
      <c r="U8" s="1" t="s">
        <v>43</v>
      </c>
      <c r="V8" s="1"/>
      <c r="W8" s="25"/>
    </row>
    <row r="9" spans="1:23" ht="57" customHeight="1" x14ac:dyDescent="0.25">
      <c r="A9" s="95" t="s">
        <v>56</v>
      </c>
      <c r="B9" s="24" t="str">
        <f t="shared" si="0"/>
        <v>Canada</v>
      </c>
      <c r="C9" s="25">
        <v>1118</v>
      </c>
      <c r="D9" s="43" t="s">
        <v>126</v>
      </c>
      <c r="E9" s="1" t="s">
        <v>127</v>
      </c>
      <c r="F9" s="25" t="s">
        <v>26</v>
      </c>
      <c r="G9" s="43" t="s">
        <v>29</v>
      </c>
      <c r="H9" s="47" t="s">
        <v>39</v>
      </c>
      <c r="I9" s="43" t="s">
        <v>37</v>
      </c>
      <c r="J9" s="2" t="s">
        <v>38</v>
      </c>
      <c r="K9" s="47" t="s">
        <v>39</v>
      </c>
      <c r="L9" s="57"/>
      <c r="M9" s="5"/>
      <c r="N9" s="5"/>
      <c r="O9" s="5"/>
      <c r="P9" s="56">
        <v>0</v>
      </c>
      <c r="Q9" s="56">
        <v>0</v>
      </c>
      <c r="R9" s="64" t="s">
        <v>128</v>
      </c>
      <c r="S9" s="68" t="s">
        <v>41</v>
      </c>
      <c r="T9" s="2" t="s">
        <v>150</v>
      </c>
      <c r="U9" s="1" t="s">
        <v>43</v>
      </c>
      <c r="V9" s="1"/>
      <c r="W9" s="25"/>
    </row>
    <row r="10" spans="1:23" ht="42.75" customHeight="1" x14ac:dyDescent="0.25">
      <c r="A10" s="95" t="s">
        <v>56</v>
      </c>
      <c r="B10" s="24" t="str">
        <f t="shared" si="0"/>
        <v>Canada</v>
      </c>
      <c r="C10" s="25">
        <v>1118</v>
      </c>
      <c r="D10" s="43" t="s">
        <v>129</v>
      </c>
      <c r="E10" s="1" t="s">
        <v>130</v>
      </c>
      <c r="F10" s="25" t="s">
        <v>31</v>
      </c>
      <c r="G10" s="43" t="s">
        <v>47</v>
      </c>
      <c r="H10" s="47" t="s">
        <v>36</v>
      </c>
      <c r="I10" s="43" t="s">
        <v>117</v>
      </c>
      <c r="J10" s="2" t="s">
        <v>10</v>
      </c>
      <c r="K10" s="47" t="s">
        <v>120</v>
      </c>
      <c r="L10" s="55">
        <v>0.1</v>
      </c>
      <c r="M10" s="5"/>
      <c r="N10" s="5"/>
      <c r="O10" s="5"/>
      <c r="P10" s="56"/>
      <c r="Q10" s="56"/>
      <c r="R10" s="64" t="s">
        <v>118</v>
      </c>
      <c r="S10" s="68" t="s">
        <v>41</v>
      </c>
      <c r="T10" s="2" t="s">
        <v>150</v>
      </c>
      <c r="U10" s="1" t="s">
        <v>43</v>
      </c>
      <c r="V10" s="1"/>
      <c r="W10" s="25"/>
    </row>
    <row r="11" spans="1:23" ht="42.75" customHeight="1" x14ac:dyDescent="0.25">
      <c r="A11" s="95" t="s">
        <v>56</v>
      </c>
      <c r="B11" s="24" t="str">
        <f t="shared" si="0"/>
        <v>Canada</v>
      </c>
      <c r="C11" s="25">
        <v>1118</v>
      </c>
      <c r="D11" s="43" t="s">
        <v>131</v>
      </c>
      <c r="E11" s="1" t="s">
        <v>132</v>
      </c>
      <c r="F11" s="25" t="s">
        <v>26</v>
      </c>
      <c r="G11" s="43" t="s">
        <v>133</v>
      </c>
      <c r="H11" s="47" t="s">
        <v>36</v>
      </c>
      <c r="I11" s="43" t="s">
        <v>134</v>
      </c>
      <c r="J11" s="2" t="s">
        <v>10</v>
      </c>
      <c r="K11" s="47" t="s">
        <v>151</v>
      </c>
      <c r="L11" s="55">
        <v>0.7</v>
      </c>
      <c r="M11" s="5"/>
      <c r="N11" s="5"/>
      <c r="O11" s="5"/>
      <c r="P11" s="56"/>
      <c r="Q11" s="56"/>
      <c r="R11" s="64"/>
      <c r="S11" s="68" t="s">
        <v>41</v>
      </c>
      <c r="T11" s="2" t="s">
        <v>150</v>
      </c>
      <c r="U11" s="1" t="s">
        <v>43</v>
      </c>
      <c r="V11" s="1"/>
      <c r="W11" s="25"/>
    </row>
    <row r="12" spans="1:23" ht="57" customHeight="1" x14ac:dyDescent="0.25">
      <c r="A12" s="95" t="s">
        <v>56</v>
      </c>
      <c r="B12" s="24" t="str">
        <f t="shared" si="0"/>
        <v>Canada</v>
      </c>
      <c r="C12" s="25">
        <v>1118</v>
      </c>
      <c r="D12" s="43" t="s">
        <v>135</v>
      </c>
      <c r="E12" s="1" t="s">
        <v>136</v>
      </c>
      <c r="F12" s="25" t="s">
        <v>26</v>
      </c>
      <c r="G12" s="43" t="s">
        <v>29</v>
      </c>
      <c r="H12" s="47" t="s">
        <v>39</v>
      </c>
      <c r="I12" s="43" t="s">
        <v>37</v>
      </c>
      <c r="J12" s="2" t="s">
        <v>38</v>
      </c>
      <c r="K12" s="47" t="s">
        <v>39</v>
      </c>
      <c r="L12" s="57"/>
      <c r="M12" s="5"/>
      <c r="N12" s="5"/>
      <c r="O12" s="5"/>
      <c r="P12" s="56">
        <v>0</v>
      </c>
      <c r="Q12" s="56">
        <v>0</v>
      </c>
      <c r="R12" s="64" t="s">
        <v>137</v>
      </c>
      <c r="S12" s="68" t="s">
        <v>41</v>
      </c>
      <c r="T12" s="2" t="s">
        <v>150</v>
      </c>
      <c r="U12" s="1" t="s">
        <v>43</v>
      </c>
      <c r="V12" s="1"/>
      <c r="W12" s="25"/>
    </row>
    <row r="13" spans="1:23" ht="57" customHeight="1" x14ac:dyDescent="0.25">
      <c r="A13" s="95" t="s">
        <v>56</v>
      </c>
      <c r="B13" s="24" t="str">
        <f t="shared" si="0"/>
        <v>Canada</v>
      </c>
      <c r="C13" s="25">
        <v>1118</v>
      </c>
      <c r="D13" s="43" t="s">
        <v>138</v>
      </c>
      <c r="E13" s="1" t="s">
        <v>139</v>
      </c>
      <c r="F13" s="25" t="s">
        <v>26</v>
      </c>
      <c r="G13" s="43" t="s">
        <v>140</v>
      </c>
      <c r="H13" s="47" t="s">
        <v>39</v>
      </c>
      <c r="I13" s="43" t="s">
        <v>37</v>
      </c>
      <c r="J13" s="2" t="s">
        <v>38</v>
      </c>
      <c r="K13" s="47" t="s">
        <v>39</v>
      </c>
      <c r="L13" s="57"/>
      <c r="M13" s="5"/>
      <c r="N13" s="5"/>
      <c r="O13" s="5"/>
      <c r="P13" s="56">
        <v>0</v>
      </c>
      <c r="Q13" s="56">
        <v>0</v>
      </c>
      <c r="R13" s="64" t="s">
        <v>137</v>
      </c>
      <c r="S13" s="68" t="s">
        <v>41</v>
      </c>
      <c r="T13" s="2" t="s">
        <v>150</v>
      </c>
      <c r="U13" s="1" t="s">
        <v>43</v>
      </c>
      <c r="V13" s="1" t="s">
        <v>25</v>
      </c>
      <c r="W13" s="25" t="s">
        <v>141</v>
      </c>
    </row>
    <row r="14" spans="1:23" ht="57" customHeight="1" x14ac:dyDescent="0.25">
      <c r="A14" s="95" t="s">
        <v>56</v>
      </c>
      <c r="B14" s="24" t="str">
        <f t="shared" si="0"/>
        <v>Canada</v>
      </c>
      <c r="C14" s="25">
        <v>1118</v>
      </c>
      <c r="D14" s="43" t="s">
        <v>142</v>
      </c>
      <c r="E14" s="1" t="s">
        <v>143</v>
      </c>
      <c r="F14" s="25" t="s">
        <v>26</v>
      </c>
      <c r="G14" s="43" t="s">
        <v>29</v>
      </c>
      <c r="H14" s="47" t="s">
        <v>39</v>
      </c>
      <c r="I14" s="43" t="s">
        <v>37</v>
      </c>
      <c r="J14" s="2" t="s">
        <v>38</v>
      </c>
      <c r="K14" s="47" t="s">
        <v>39</v>
      </c>
      <c r="L14" s="57"/>
      <c r="M14" s="5"/>
      <c r="N14" s="5"/>
      <c r="O14" s="5"/>
      <c r="P14" s="56">
        <v>0</v>
      </c>
      <c r="Q14" s="56">
        <v>0</v>
      </c>
      <c r="R14" s="64" t="s">
        <v>137</v>
      </c>
      <c r="S14" s="68" t="s">
        <v>41</v>
      </c>
      <c r="T14" s="2" t="s">
        <v>150</v>
      </c>
      <c r="U14" s="1" t="s">
        <v>43</v>
      </c>
      <c r="V14" s="1"/>
      <c r="W14" s="25"/>
    </row>
    <row r="15" spans="1:23" ht="57" customHeight="1" x14ac:dyDescent="0.25">
      <c r="A15" s="95" t="s">
        <v>56</v>
      </c>
      <c r="B15" s="24" t="str">
        <f t="shared" si="0"/>
        <v>Canada</v>
      </c>
      <c r="C15" s="25">
        <v>1118</v>
      </c>
      <c r="D15" s="43" t="s">
        <v>144</v>
      </c>
      <c r="E15" s="1" t="s">
        <v>144</v>
      </c>
      <c r="F15" s="25" t="s">
        <v>26</v>
      </c>
      <c r="G15" s="43" t="s">
        <v>29</v>
      </c>
      <c r="H15" s="47" t="s">
        <v>39</v>
      </c>
      <c r="I15" s="43" t="s">
        <v>37</v>
      </c>
      <c r="J15" s="2" t="s">
        <v>38</v>
      </c>
      <c r="K15" s="47" t="s">
        <v>39</v>
      </c>
      <c r="L15" s="57"/>
      <c r="M15" s="5"/>
      <c r="N15" s="5"/>
      <c r="O15" s="5"/>
      <c r="P15" s="56">
        <v>0</v>
      </c>
      <c r="Q15" s="56">
        <v>0</v>
      </c>
      <c r="R15" s="64" t="s">
        <v>128</v>
      </c>
      <c r="S15" s="68" t="s">
        <v>41</v>
      </c>
      <c r="T15" s="2" t="s">
        <v>150</v>
      </c>
      <c r="U15" s="1" t="s">
        <v>43</v>
      </c>
      <c r="V15" s="1"/>
      <c r="W15" s="25"/>
    </row>
    <row r="16" spans="1:23" ht="57" customHeight="1" x14ac:dyDescent="0.25">
      <c r="A16" s="95" t="s">
        <v>56</v>
      </c>
      <c r="B16" s="24" t="str">
        <f t="shared" si="0"/>
        <v>Canada</v>
      </c>
      <c r="C16" s="25">
        <v>1118</v>
      </c>
      <c r="D16" s="43" t="s">
        <v>145</v>
      </c>
      <c r="E16" s="1" t="s">
        <v>146</v>
      </c>
      <c r="F16" s="25" t="s">
        <v>26</v>
      </c>
      <c r="G16" s="43" t="s">
        <v>29</v>
      </c>
      <c r="H16" s="47" t="s">
        <v>39</v>
      </c>
      <c r="I16" s="43" t="s">
        <v>37</v>
      </c>
      <c r="J16" s="2" t="s">
        <v>38</v>
      </c>
      <c r="K16" s="47" t="s">
        <v>39</v>
      </c>
      <c r="L16" s="57"/>
      <c r="M16" s="5"/>
      <c r="N16" s="5"/>
      <c r="O16" s="5"/>
      <c r="P16" s="56">
        <v>0</v>
      </c>
      <c r="Q16" s="56">
        <v>0</v>
      </c>
      <c r="R16" s="64" t="s">
        <v>137</v>
      </c>
      <c r="S16" s="68" t="s">
        <v>41</v>
      </c>
      <c r="T16" s="2" t="s">
        <v>150</v>
      </c>
      <c r="U16" s="1" t="s">
        <v>43</v>
      </c>
      <c r="V16" s="1"/>
      <c r="W16" s="25"/>
    </row>
    <row r="17" spans="1:23" ht="57.75" customHeight="1" thickBot="1" x14ac:dyDescent="0.3">
      <c r="A17" s="96" t="s">
        <v>56</v>
      </c>
      <c r="B17" s="26" t="str">
        <f t="shared" si="0"/>
        <v>Canada</v>
      </c>
      <c r="C17" s="32">
        <v>1118</v>
      </c>
      <c r="D17" s="44" t="s">
        <v>147</v>
      </c>
      <c r="E17" s="27" t="s">
        <v>148</v>
      </c>
      <c r="F17" s="32" t="s">
        <v>26</v>
      </c>
      <c r="G17" s="44" t="s">
        <v>140</v>
      </c>
      <c r="H17" s="48" t="s">
        <v>39</v>
      </c>
      <c r="I17" s="44" t="s">
        <v>37</v>
      </c>
      <c r="J17" s="28" t="s">
        <v>38</v>
      </c>
      <c r="K17" s="48" t="s">
        <v>39</v>
      </c>
      <c r="L17" s="58"/>
      <c r="M17" s="29"/>
      <c r="N17" s="29"/>
      <c r="O17" s="29"/>
      <c r="P17" s="59">
        <v>0</v>
      </c>
      <c r="Q17" s="59">
        <v>0</v>
      </c>
      <c r="R17" s="65" t="s">
        <v>137</v>
      </c>
      <c r="S17" s="69" t="s">
        <v>41</v>
      </c>
      <c r="T17" s="28" t="s">
        <v>150</v>
      </c>
      <c r="U17" s="27" t="s">
        <v>43</v>
      </c>
      <c r="V17" s="27" t="s">
        <v>25</v>
      </c>
      <c r="W17" s="32" t="s">
        <v>149</v>
      </c>
    </row>
    <row r="18" spans="1:23" ht="57" customHeight="1" x14ac:dyDescent="0.25">
      <c r="A18" s="94" t="s">
        <v>56</v>
      </c>
      <c r="B18" s="18" t="s">
        <v>152</v>
      </c>
      <c r="C18" s="72">
        <v>1180</v>
      </c>
      <c r="D18" s="42" t="s">
        <v>153</v>
      </c>
      <c r="E18" s="19" t="s">
        <v>154</v>
      </c>
      <c r="F18" s="23" t="s">
        <v>26</v>
      </c>
      <c r="G18" s="42" t="s">
        <v>155</v>
      </c>
      <c r="H18" s="46" t="s">
        <v>39</v>
      </c>
      <c r="I18" s="42" t="s">
        <v>28</v>
      </c>
      <c r="J18" s="20" t="s">
        <v>38</v>
      </c>
      <c r="K18" s="46" t="s">
        <v>39</v>
      </c>
      <c r="L18" s="53"/>
      <c r="M18" s="21"/>
      <c r="N18" s="21"/>
      <c r="O18" s="21"/>
      <c r="P18" s="54"/>
      <c r="Q18" s="54"/>
      <c r="R18" s="63" t="s">
        <v>156</v>
      </c>
      <c r="S18" s="67" t="s">
        <v>157</v>
      </c>
      <c r="T18" s="20" t="s">
        <v>158</v>
      </c>
      <c r="U18" s="19" t="s">
        <v>159</v>
      </c>
      <c r="V18" s="19"/>
      <c r="W18" s="23"/>
    </row>
    <row r="19" spans="1:23" ht="85.5" customHeight="1" x14ac:dyDescent="0.25">
      <c r="A19" s="95" t="s">
        <v>56</v>
      </c>
      <c r="B19" s="24" t="s">
        <v>152</v>
      </c>
      <c r="C19" s="73">
        <v>1180</v>
      </c>
      <c r="D19" s="43" t="s">
        <v>153</v>
      </c>
      <c r="E19" s="1" t="s">
        <v>160</v>
      </c>
      <c r="F19" s="25" t="s">
        <v>26</v>
      </c>
      <c r="G19" s="43" t="s">
        <v>161</v>
      </c>
      <c r="H19" s="47" t="s">
        <v>39</v>
      </c>
      <c r="I19" s="43" t="s">
        <v>28</v>
      </c>
      <c r="J19" s="2" t="s">
        <v>38</v>
      </c>
      <c r="K19" s="47" t="s">
        <v>39</v>
      </c>
      <c r="L19" s="57"/>
      <c r="M19" s="5"/>
      <c r="N19" s="5"/>
      <c r="O19" s="5"/>
      <c r="P19" s="56"/>
      <c r="Q19" s="56"/>
      <c r="R19" s="64" t="s">
        <v>162</v>
      </c>
      <c r="S19" s="68" t="s">
        <v>157</v>
      </c>
      <c r="T19" s="2" t="s">
        <v>158</v>
      </c>
      <c r="U19" s="1" t="s">
        <v>159</v>
      </c>
      <c r="V19" s="1"/>
      <c r="W19" s="25"/>
    </row>
    <row r="20" spans="1:23" ht="85.5" customHeight="1" x14ac:dyDescent="0.25">
      <c r="A20" s="95" t="s">
        <v>56</v>
      </c>
      <c r="B20" s="24" t="s">
        <v>152</v>
      </c>
      <c r="C20" s="73">
        <v>1180</v>
      </c>
      <c r="D20" s="43" t="s">
        <v>153</v>
      </c>
      <c r="E20" s="1" t="s">
        <v>163</v>
      </c>
      <c r="F20" s="25" t="s">
        <v>26</v>
      </c>
      <c r="G20" s="43" t="s">
        <v>27</v>
      </c>
      <c r="H20" s="47" t="s">
        <v>39</v>
      </c>
      <c r="I20" s="43" t="s">
        <v>28</v>
      </c>
      <c r="J20" s="2" t="s">
        <v>38</v>
      </c>
      <c r="K20" s="47" t="s">
        <v>39</v>
      </c>
      <c r="L20" s="57"/>
      <c r="M20" s="5"/>
      <c r="N20" s="5"/>
      <c r="O20" s="5"/>
      <c r="P20" s="56"/>
      <c r="Q20" s="56"/>
      <c r="R20" s="64" t="s">
        <v>164</v>
      </c>
      <c r="S20" s="68" t="s">
        <v>157</v>
      </c>
      <c r="T20" s="2" t="s">
        <v>158</v>
      </c>
      <c r="U20" s="1" t="s">
        <v>159</v>
      </c>
      <c r="V20" s="1"/>
      <c r="W20" s="25"/>
    </row>
    <row r="21" spans="1:23" ht="85.5" customHeight="1" x14ac:dyDescent="0.25">
      <c r="A21" s="95" t="s">
        <v>56</v>
      </c>
      <c r="B21" s="24" t="s">
        <v>152</v>
      </c>
      <c r="C21" s="73">
        <v>1180</v>
      </c>
      <c r="D21" s="43" t="s">
        <v>153</v>
      </c>
      <c r="E21" s="1" t="s">
        <v>165</v>
      </c>
      <c r="F21" s="25" t="s">
        <v>26</v>
      </c>
      <c r="G21" s="43" t="s">
        <v>166</v>
      </c>
      <c r="H21" s="47" t="s">
        <v>39</v>
      </c>
      <c r="I21" s="43" t="s">
        <v>28</v>
      </c>
      <c r="J21" s="2" t="s">
        <v>38</v>
      </c>
      <c r="K21" s="47" t="s">
        <v>39</v>
      </c>
      <c r="L21" s="57"/>
      <c r="M21" s="5"/>
      <c r="N21" s="5"/>
      <c r="O21" s="5"/>
      <c r="P21" s="56"/>
      <c r="Q21" s="56"/>
      <c r="R21" s="64" t="s">
        <v>167</v>
      </c>
      <c r="S21" s="68" t="s">
        <v>157</v>
      </c>
      <c r="T21" s="2" t="s">
        <v>158</v>
      </c>
      <c r="U21" s="1" t="s">
        <v>159</v>
      </c>
      <c r="V21" s="1"/>
      <c r="W21" s="25"/>
    </row>
    <row r="22" spans="1:23" ht="314.25" customHeight="1" thickBot="1" x14ac:dyDescent="0.3">
      <c r="A22" s="96" t="s">
        <v>56</v>
      </c>
      <c r="B22" s="26" t="s">
        <v>152</v>
      </c>
      <c r="C22" s="74">
        <v>1180</v>
      </c>
      <c r="D22" s="75" t="s">
        <v>168</v>
      </c>
      <c r="E22" s="27" t="s">
        <v>170</v>
      </c>
      <c r="F22" s="32" t="s">
        <v>22</v>
      </c>
      <c r="G22" s="44" t="s">
        <v>23</v>
      </c>
      <c r="H22" s="48" t="s">
        <v>36</v>
      </c>
      <c r="I22" s="97" t="s">
        <v>24</v>
      </c>
      <c r="J22" s="28" t="s">
        <v>11</v>
      </c>
      <c r="K22" s="48" t="s">
        <v>120</v>
      </c>
      <c r="L22" s="58"/>
      <c r="M22" s="30">
        <v>6.9</v>
      </c>
      <c r="N22" s="30">
        <v>6.9</v>
      </c>
      <c r="O22" s="30">
        <v>6.9</v>
      </c>
      <c r="P22" s="59">
        <v>6.9</v>
      </c>
      <c r="Q22" s="59">
        <v>6.9</v>
      </c>
      <c r="R22" s="65" t="s">
        <v>169</v>
      </c>
      <c r="S22" s="69" t="s">
        <v>41</v>
      </c>
      <c r="T22" s="28" t="s">
        <v>150</v>
      </c>
      <c r="U22" s="27" t="s">
        <v>43</v>
      </c>
      <c r="V22" s="27"/>
      <c r="W22" s="32"/>
    </row>
    <row r="23" spans="1:23" ht="71.25" customHeight="1" x14ac:dyDescent="0.25">
      <c r="A23" s="94" t="s">
        <v>56</v>
      </c>
      <c r="B23" s="80" t="s">
        <v>84</v>
      </c>
      <c r="C23" s="23">
        <v>1107</v>
      </c>
      <c r="D23" s="42" t="s">
        <v>171</v>
      </c>
      <c r="E23" s="19" t="s">
        <v>172</v>
      </c>
      <c r="F23" s="23" t="s">
        <v>22</v>
      </c>
      <c r="G23" s="42" t="s">
        <v>173</v>
      </c>
      <c r="H23" s="83" t="s">
        <v>36</v>
      </c>
      <c r="I23" s="19" t="s">
        <v>117</v>
      </c>
      <c r="J23" s="83" t="s">
        <v>10</v>
      </c>
      <c r="K23" s="84" t="s">
        <v>120</v>
      </c>
      <c r="L23" s="76">
        <v>34.794382022471915</v>
      </c>
      <c r="M23" s="21"/>
      <c r="N23" s="21"/>
      <c r="O23" s="21"/>
      <c r="P23" s="54">
        <v>34.794382022471915</v>
      </c>
      <c r="Q23" s="54">
        <v>34.794382022471915</v>
      </c>
      <c r="R23" s="63" t="s">
        <v>174</v>
      </c>
      <c r="S23" s="67" t="s">
        <v>41</v>
      </c>
      <c r="T23" s="88" t="s">
        <v>42</v>
      </c>
      <c r="U23" s="19" t="s">
        <v>159</v>
      </c>
      <c r="V23" s="19"/>
      <c r="W23" s="23"/>
    </row>
    <row r="24" spans="1:23" ht="121.5" customHeight="1" x14ac:dyDescent="0.25">
      <c r="A24" s="95" t="s">
        <v>56</v>
      </c>
      <c r="B24" s="81" t="s">
        <v>84</v>
      </c>
      <c r="C24" s="25">
        <v>1107</v>
      </c>
      <c r="D24" s="43" t="s">
        <v>171</v>
      </c>
      <c r="E24" s="1" t="s">
        <v>1222</v>
      </c>
      <c r="F24" s="25" t="s">
        <v>22</v>
      </c>
      <c r="G24" s="43" t="s">
        <v>175</v>
      </c>
      <c r="H24" s="78" t="s">
        <v>36</v>
      </c>
      <c r="I24" s="1" t="s">
        <v>24</v>
      </c>
      <c r="J24" s="78" t="s">
        <v>11</v>
      </c>
      <c r="K24" s="85" t="s">
        <v>120</v>
      </c>
      <c r="L24" s="57"/>
      <c r="M24" s="3">
        <v>-4.164831460674157</v>
      </c>
      <c r="N24" s="3">
        <v>-4.2</v>
      </c>
      <c r="O24" s="3">
        <v>0</v>
      </c>
      <c r="P24" s="56">
        <v>-4.164831460674157</v>
      </c>
      <c r="Q24" s="56">
        <v>-4.164831460674157</v>
      </c>
      <c r="R24" s="64" t="s">
        <v>176</v>
      </c>
      <c r="S24" s="68" t="s">
        <v>41</v>
      </c>
      <c r="T24" s="79" t="s">
        <v>42</v>
      </c>
      <c r="U24" s="1" t="s">
        <v>159</v>
      </c>
      <c r="V24" s="1"/>
      <c r="W24" s="25"/>
    </row>
    <row r="25" spans="1:23" ht="85.5" customHeight="1" x14ac:dyDescent="0.25">
      <c r="A25" s="95" t="s">
        <v>56</v>
      </c>
      <c r="B25" s="81" t="s">
        <v>84</v>
      </c>
      <c r="C25" s="25">
        <v>1107</v>
      </c>
      <c r="D25" s="43" t="s">
        <v>171</v>
      </c>
      <c r="E25" s="1" t="s">
        <v>177</v>
      </c>
      <c r="F25" s="25" t="s">
        <v>22</v>
      </c>
      <c r="G25" s="43" t="s">
        <v>175</v>
      </c>
      <c r="H25" s="78" t="s">
        <v>36</v>
      </c>
      <c r="I25" s="1" t="s">
        <v>24</v>
      </c>
      <c r="J25" s="78" t="s">
        <v>11</v>
      </c>
      <c r="K25" s="85" t="s">
        <v>120</v>
      </c>
      <c r="L25" s="57"/>
      <c r="M25" s="3">
        <v>2.0269662921348313</v>
      </c>
      <c r="N25" s="3">
        <v>2.0269662921348313</v>
      </c>
      <c r="O25" s="3">
        <v>0</v>
      </c>
      <c r="P25" s="56">
        <v>2.0269662921348313</v>
      </c>
      <c r="Q25" s="56">
        <v>2.0269662921348313</v>
      </c>
      <c r="R25" s="64" t="s">
        <v>178</v>
      </c>
      <c r="S25" s="68" t="s">
        <v>41</v>
      </c>
      <c r="T25" s="79" t="s">
        <v>42</v>
      </c>
      <c r="U25" s="1" t="s">
        <v>159</v>
      </c>
      <c r="V25" s="1"/>
      <c r="W25" s="25"/>
    </row>
    <row r="26" spans="1:23" ht="99.75" customHeight="1" x14ac:dyDescent="0.25">
      <c r="A26" s="95" t="s">
        <v>56</v>
      </c>
      <c r="B26" s="81" t="s">
        <v>84</v>
      </c>
      <c r="C26" s="25">
        <v>1107</v>
      </c>
      <c r="D26" s="43" t="s">
        <v>171</v>
      </c>
      <c r="E26" s="1" t="s">
        <v>179</v>
      </c>
      <c r="F26" s="25" t="s">
        <v>22</v>
      </c>
      <c r="G26" s="43" t="s">
        <v>175</v>
      </c>
      <c r="H26" s="78" t="s">
        <v>36</v>
      </c>
      <c r="I26" s="1" t="s">
        <v>24</v>
      </c>
      <c r="J26" s="78" t="s">
        <v>11</v>
      </c>
      <c r="K26" s="85" t="s">
        <v>120</v>
      </c>
      <c r="L26" s="57"/>
      <c r="M26" s="3">
        <v>0.66741573033707857</v>
      </c>
      <c r="N26" s="3">
        <v>0.66741573033707857</v>
      </c>
      <c r="O26" s="3">
        <v>0</v>
      </c>
      <c r="P26" s="56">
        <v>0.66741573033707857</v>
      </c>
      <c r="Q26" s="56">
        <v>0.66741573033707857</v>
      </c>
      <c r="R26" s="64" t="s">
        <v>180</v>
      </c>
      <c r="S26" s="68" t="s">
        <v>41</v>
      </c>
      <c r="T26" s="79" t="s">
        <v>42</v>
      </c>
      <c r="U26" s="1" t="s">
        <v>159</v>
      </c>
      <c r="V26" s="1"/>
      <c r="W26" s="25"/>
    </row>
    <row r="27" spans="1:23" ht="71.25" customHeight="1" x14ac:dyDescent="0.25">
      <c r="A27" s="95" t="s">
        <v>56</v>
      </c>
      <c r="B27" s="81" t="s">
        <v>84</v>
      </c>
      <c r="C27" s="25">
        <v>1107</v>
      </c>
      <c r="D27" s="43" t="s">
        <v>181</v>
      </c>
      <c r="E27" s="1" t="s">
        <v>182</v>
      </c>
      <c r="F27" s="25" t="s">
        <v>22</v>
      </c>
      <c r="G27" s="43" t="s">
        <v>183</v>
      </c>
      <c r="H27" s="78" t="s">
        <v>39</v>
      </c>
      <c r="I27" s="1" t="s">
        <v>30</v>
      </c>
      <c r="J27" s="78" t="s">
        <v>38</v>
      </c>
      <c r="K27" s="85" t="s">
        <v>39</v>
      </c>
      <c r="L27" s="57"/>
      <c r="M27" s="5"/>
      <c r="N27" s="5"/>
      <c r="O27" s="5"/>
      <c r="P27" s="56">
        <v>1.1123595505617978</v>
      </c>
      <c r="Q27" s="56">
        <v>1.1123595505617978</v>
      </c>
      <c r="R27" s="64" t="s">
        <v>184</v>
      </c>
      <c r="S27" s="68" t="s">
        <v>41</v>
      </c>
      <c r="T27" s="79" t="s">
        <v>42</v>
      </c>
      <c r="U27" s="1" t="s">
        <v>159</v>
      </c>
      <c r="V27" s="1"/>
      <c r="W27" s="25"/>
    </row>
    <row r="28" spans="1:23" ht="57" customHeight="1" x14ac:dyDescent="0.25">
      <c r="A28" s="95" t="s">
        <v>56</v>
      </c>
      <c r="B28" s="81" t="s">
        <v>84</v>
      </c>
      <c r="C28" s="25">
        <v>1107</v>
      </c>
      <c r="D28" s="43" t="s">
        <v>181</v>
      </c>
      <c r="E28" s="1" t="s">
        <v>185</v>
      </c>
      <c r="F28" s="25" t="s">
        <v>186</v>
      </c>
      <c r="G28" s="43" t="s">
        <v>183</v>
      </c>
      <c r="H28" s="78" t="s">
        <v>39</v>
      </c>
      <c r="I28" s="1" t="s">
        <v>30</v>
      </c>
      <c r="J28" s="78" t="s">
        <v>38</v>
      </c>
      <c r="K28" s="85" t="s">
        <v>39</v>
      </c>
      <c r="L28" s="57"/>
      <c r="M28" s="5"/>
      <c r="N28" s="5"/>
      <c r="O28" s="5"/>
      <c r="P28" s="56">
        <v>0.15730337078651688</v>
      </c>
      <c r="Q28" s="56">
        <v>0.15730337078651688</v>
      </c>
      <c r="R28" s="64" t="s">
        <v>187</v>
      </c>
      <c r="S28" s="68" t="s">
        <v>41</v>
      </c>
      <c r="T28" s="79" t="s">
        <v>42</v>
      </c>
      <c r="U28" s="1" t="s">
        <v>159</v>
      </c>
      <c r="V28" s="1"/>
      <c r="W28" s="25"/>
    </row>
    <row r="29" spans="1:23" ht="57" customHeight="1" x14ac:dyDescent="0.25">
      <c r="A29" s="95" t="s">
        <v>56</v>
      </c>
      <c r="B29" s="81" t="s">
        <v>84</v>
      </c>
      <c r="C29" s="25">
        <v>1107</v>
      </c>
      <c r="D29" s="43" t="s">
        <v>171</v>
      </c>
      <c r="E29" s="1" t="s">
        <v>188</v>
      </c>
      <c r="F29" s="25" t="s">
        <v>46</v>
      </c>
      <c r="G29" s="43" t="s">
        <v>189</v>
      </c>
      <c r="H29" s="78" t="s">
        <v>36</v>
      </c>
      <c r="I29" s="90" t="s">
        <v>48</v>
      </c>
      <c r="J29" s="78" t="s">
        <v>10</v>
      </c>
      <c r="K29" s="85" t="s">
        <v>49</v>
      </c>
      <c r="L29" s="55">
        <v>0.01</v>
      </c>
      <c r="M29" s="5"/>
      <c r="N29" s="5"/>
      <c r="O29" s="5"/>
      <c r="P29" s="56"/>
      <c r="Q29" s="56"/>
      <c r="R29" s="64" t="s">
        <v>190</v>
      </c>
      <c r="S29" s="68" t="s">
        <v>41</v>
      </c>
      <c r="T29" s="79" t="s">
        <v>42</v>
      </c>
      <c r="U29" s="1" t="s">
        <v>159</v>
      </c>
      <c r="V29" s="1"/>
      <c r="W29" s="25"/>
    </row>
    <row r="30" spans="1:23" ht="77.25" customHeight="1" x14ac:dyDescent="0.25">
      <c r="A30" s="95" t="s">
        <v>56</v>
      </c>
      <c r="B30" s="81" t="s">
        <v>84</v>
      </c>
      <c r="C30" s="25">
        <v>1107</v>
      </c>
      <c r="D30" s="43" t="s">
        <v>181</v>
      </c>
      <c r="E30" s="1" t="s">
        <v>191</v>
      </c>
      <c r="F30" s="25" t="s">
        <v>26</v>
      </c>
      <c r="G30" s="43" t="s">
        <v>133</v>
      </c>
      <c r="H30" s="78" t="s">
        <v>36</v>
      </c>
      <c r="I30" s="1" t="s">
        <v>192</v>
      </c>
      <c r="J30" s="78" t="s">
        <v>11</v>
      </c>
      <c r="K30" s="85" t="s">
        <v>151</v>
      </c>
      <c r="L30" s="57"/>
      <c r="M30" s="3">
        <v>0.3</v>
      </c>
      <c r="N30" s="3">
        <v>0.3</v>
      </c>
      <c r="O30" s="3">
        <v>0.3</v>
      </c>
      <c r="P30" s="56">
        <v>0.3</v>
      </c>
      <c r="Q30" s="56">
        <v>0.3</v>
      </c>
      <c r="R30" s="64" t="s">
        <v>193</v>
      </c>
      <c r="S30" s="68" t="s">
        <v>41</v>
      </c>
      <c r="T30" s="79" t="s">
        <v>42</v>
      </c>
      <c r="U30" s="1" t="s">
        <v>159</v>
      </c>
      <c r="V30" s="1"/>
      <c r="W30" s="25"/>
    </row>
    <row r="31" spans="1:23" ht="42.75" customHeight="1" x14ac:dyDescent="0.25">
      <c r="A31" s="95" t="s">
        <v>56</v>
      </c>
      <c r="B31" s="81" t="s">
        <v>84</v>
      </c>
      <c r="C31" s="25">
        <v>1107</v>
      </c>
      <c r="D31" s="43" t="s">
        <v>194</v>
      </c>
      <c r="E31" s="1" t="s">
        <v>195</v>
      </c>
      <c r="F31" s="25" t="s">
        <v>46</v>
      </c>
      <c r="G31" s="43" t="s">
        <v>196</v>
      </c>
      <c r="H31" s="78" t="s">
        <v>36</v>
      </c>
      <c r="I31" s="90" t="s">
        <v>48</v>
      </c>
      <c r="J31" s="78" t="s">
        <v>10</v>
      </c>
      <c r="K31" s="85" t="s">
        <v>49</v>
      </c>
      <c r="L31" s="55">
        <v>0.01</v>
      </c>
      <c r="M31" s="5"/>
      <c r="N31" s="5"/>
      <c r="O31" s="5"/>
      <c r="P31" s="56"/>
      <c r="Q31" s="56"/>
      <c r="R31" s="64" t="s">
        <v>197</v>
      </c>
      <c r="S31" s="68" t="s">
        <v>41</v>
      </c>
      <c r="T31" s="79" t="s">
        <v>42</v>
      </c>
      <c r="U31" s="1" t="s">
        <v>159</v>
      </c>
      <c r="V31" s="1"/>
      <c r="W31" s="25"/>
    </row>
    <row r="32" spans="1:23" ht="104.25" customHeight="1" x14ac:dyDescent="0.25">
      <c r="A32" s="95" t="s">
        <v>56</v>
      </c>
      <c r="B32" s="81" t="s">
        <v>84</v>
      </c>
      <c r="C32" s="25">
        <v>1107</v>
      </c>
      <c r="D32" s="43" t="s">
        <v>171</v>
      </c>
      <c r="E32" s="1" t="s">
        <v>234</v>
      </c>
      <c r="F32" s="25" t="s">
        <v>22</v>
      </c>
      <c r="G32" s="43" t="s">
        <v>23</v>
      </c>
      <c r="H32" s="78" t="s">
        <v>36</v>
      </c>
      <c r="I32" s="1" t="s">
        <v>24</v>
      </c>
      <c r="J32" s="78" t="s">
        <v>11</v>
      </c>
      <c r="K32" s="85" t="s">
        <v>120</v>
      </c>
      <c r="L32" s="57"/>
      <c r="M32" s="3">
        <v>0.04</v>
      </c>
      <c r="N32" s="3">
        <v>0.04</v>
      </c>
      <c r="O32" s="3">
        <v>0.04</v>
      </c>
      <c r="P32" s="56"/>
      <c r="Q32" s="56"/>
      <c r="R32" s="64"/>
      <c r="S32" s="68" t="s">
        <v>41</v>
      </c>
      <c r="T32" s="79" t="s">
        <v>42</v>
      </c>
      <c r="U32" s="1" t="s">
        <v>159</v>
      </c>
      <c r="V32" s="1"/>
      <c r="W32" s="25"/>
    </row>
    <row r="33" spans="1:23" ht="72" customHeight="1" thickBot="1" x14ac:dyDescent="0.3">
      <c r="A33" s="96" t="s">
        <v>56</v>
      </c>
      <c r="B33" s="82" t="s">
        <v>84</v>
      </c>
      <c r="C33" s="32">
        <v>1107</v>
      </c>
      <c r="D33" s="44" t="s">
        <v>171</v>
      </c>
      <c r="E33" s="27" t="s">
        <v>198</v>
      </c>
      <c r="F33" s="32" t="s">
        <v>22</v>
      </c>
      <c r="G33" s="44" t="s">
        <v>175</v>
      </c>
      <c r="H33" s="86" t="s">
        <v>36</v>
      </c>
      <c r="I33" s="27" t="s">
        <v>199</v>
      </c>
      <c r="J33" s="86" t="s">
        <v>11</v>
      </c>
      <c r="K33" s="87" t="s">
        <v>151</v>
      </c>
      <c r="L33" s="58"/>
      <c r="M33" s="30">
        <v>0.02</v>
      </c>
      <c r="N33" s="30">
        <v>0.02</v>
      </c>
      <c r="O33" s="30">
        <v>0</v>
      </c>
      <c r="P33" s="59">
        <v>0.02</v>
      </c>
      <c r="Q33" s="59">
        <v>0.02</v>
      </c>
      <c r="R33" s="65" t="s">
        <v>200</v>
      </c>
      <c r="S33" s="69" t="s">
        <v>41</v>
      </c>
      <c r="T33" s="89" t="s">
        <v>42</v>
      </c>
      <c r="U33" s="27" t="s">
        <v>159</v>
      </c>
      <c r="V33" s="27"/>
      <c r="W33" s="32"/>
    </row>
    <row r="34" spans="1:23" ht="57" customHeight="1" x14ac:dyDescent="0.25">
      <c r="A34" s="91" t="s">
        <v>56</v>
      </c>
      <c r="B34" s="18" t="s">
        <v>201</v>
      </c>
      <c r="C34" s="23">
        <v>1277</v>
      </c>
      <c r="D34" s="42" t="s">
        <v>224</v>
      </c>
      <c r="E34" s="19" t="s">
        <v>248</v>
      </c>
      <c r="F34" s="23" t="s">
        <v>26</v>
      </c>
      <c r="G34" s="42" t="s">
        <v>29</v>
      </c>
      <c r="H34" s="20" t="s">
        <v>39</v>
      </c>
      <c r="I34" s="1" t="s">
        <v>24</v>
      </c>
      <c r="J34" s="78" t="s">
        <v>11</v>
      </c>
      <c r="K34" s="85" t="s">
        <v>120</v>
      </c>
      <c r="L34" s="57"/>
      <c r="M34" s="3">
        <v>1.2</v>
      </c>
      <c r="N34" s="3">
        <v>1.2</v>
      </c>
      <c r="O34" s="3">
        <v>0</v>
      </c>
      <c r="P34" s="54"/>
      <c r="Q34" s="54"/>
      <c r="R34" s="63" t="s">
        <v>225</v>
      </c>
      <c r="S34" s="67" t="s">
        <v>41</v>
      </c>
      <c r="T34" s="22" t="s">
        <v>42</v>
      </c>
      <c r="U34" s="19" t="s">
        <v>43</v>
      </c>
      <c r="V34" s="19"/>
      <c r="W34" s="23"/>
    </row>
    <row r="35" spans="1:23" ht="57" customHeight="1" x14ac:dyDescent="0.25">
      <c r="A35" s="92" t="s">
        <v>56</v>
      </c>
      <c r="B35" s="24" t="s">
        <v>201</v>
      </c>
      <c r="C35" s="25">
        <v>1277</v>
      </c>
      <c r="D35" s="43" t="s">
        <v>226</v>
      </c>
      <c r="E35" s="1" t="s">
        <v>227</v>
      </c>
      <c r="F35" s="25" t="s">
        <v>26</v>
      </c>
      <c r="G35" s="43" t="s">
        <v>155</v>
      </c>
      <c r="H35" s="2" t="s">
        <v>39</v>
      </c>
      <c r="I35" s="1" t="s">
        <v>37</v>
      </c>
      <c r="J35" s="2" t="s">
        <v>38</v>
      </c>
      <c r="K35" s="47" t="s">
        <v>39</v>
      </c>
      <c r="L35" s="57"/>
      <c r="M35" s="5"/>
      <c r="N35" s="5"/>
      <c r="O35" s="5"/>
      <c r="P35" s="56"/>
      <c r="Q35" s="56"/>
      <c r="R35" s="64" t="s">
        <v>225</v>
      </c>
      <c r="S35" s="68" t="s">
        <v>41</v>
      </c>
      <c r="T35" s="4" t="s">
        <v>42</v>
      </c>
      <c r="U35" s="1" t="s">
        <v>43</v>
      </c>
      <c r="V35" s="1"/>
      <c r="W35" s="25"/>
    </row>
    <row r="36" spans="1:23" ht="57" customHeight="1" x14ac:dyDescent="0.25">
      <c r="A36" s="92" t="s">
        <v>56</v>
      </c>
      <c r="B36" s="24" t="s">
        <v>201</v>
      </c>
      <c r="C36" s="25">
        <v>1277</v>
      </c>
      <c r="D36" s="43" t="s">
        <v>228</v>
      </c>
      <c r="E36" s="1" t="s">
        <v>229</v>
      </c>
      <c r="F36" s="25" t="s">
        <v>26</v>
      </c>
      <c r="G36" s="43" t="s">
        <v>230</v>
      </c>
      <c r="H36" s="2" t="s">
        <v>39</v>
      </c>
      <c r="I36" s="1" t="s">
        <v>28</v>
      </c>
      <c r="J36" s="2" t="s">
        <v>38</v>
      </c>
      <c r="K36" s="47" t="s">
        <v>39</v>
      </c>
      <c r="L36" s="57"/>
      <c r="M36" s="5"/>
      <c r="N36" s="5"/>
      <c r="O36" s="5"/>
      <c r="P36" s="56"/>
      <c r="Q36" s="56"/>
      <c r="R36" s="64" t="s">
        <v>225</v>
      </c>
      <c r="S36" s="68" t="s">
        <v>41</v>
      </c>
      <c r="T36" s="4" t="s">
        <v>42</v>
      </c>
      <c r="U36" s="1" t="s">
        <v>43</v>
      </c>
      <c r="V36" s="1"/>
      <c r="W36" s="25"/>
    </row>
    <row r="37" spans="1:23" ht="52.5" customHeight="1" thickBot="1" x14ac:dyDescent="0.3">
      <c r="A37" s="93" t="s">
        <v>56</v>
      </c>
      <c r="B37" s="26" t="s">
        <v>201</v>
      </c>
      <c r="C37" s="32">
        <v>1277</v>
      </c>
      <c r="D37" s="44" t="s">
        <v>231</v>
      </c>
      <c r="E37" s="27" t="s">
        <v>232</v>
      </c>
      <c r="F37" s="32" t="s">
        <v>26</v>
      </c>
      <c r="G37" s="44" t="s">
        <v>233</v>
      </c>
      <c r="H37" s="28" t="s">
        <v>39</v>
      </c>
      <c r="I37" s="27" t="s">
        <v>51</v>
      </c>
      <c r="J37" s="28" t="s">
        <v>11</v>
      </c>
      <c r="K37" s="48" t="s">
        <v>49</v>
      </c>
      <c r="L37" s="58"/>
      <c r="M37" s="30">
        <v>3.5</v>
      </c>
      <c r="N37" s="30">
        <v>3.5</v>
      </c>
      <c r="O37" s="30">
        <v>0</v>
      </c>
      <c r="P37" s="59"/>
      <c r="Q37" s="59"/>
      <c r="R37" s="65" t="s">
        <v>225</v>
      </c>
      <c r="S37" s="69" t="s">
        <v>41</v>
      </c>
      <c r="T37" s="31" t="s">
        <v>42</v>
      </c>
      <c r="U37" s="27" t="s">
        <v>43</v>
      </c>
      <c r="V37" s="27"/>
      <c r="W37" s="32"/>
    </row>
    <row r="38" spans="1:23" ht="128.25" customHeight="1" x14ac:dyDescent="0.25">
      <c r="A38" s="94" t="s">
        <v>56</v>
      </c>
      <c r="B38" s="18" t="s">
        <v>99</v>
      </c>
      <c r="C38" s="23">
        <v>2302</v>
      </c>
      <c r="D38" s="42" t="s">
        <v>36</v>
      </c>
      <c r="E38" s="19" t="s">
        <v>235</v>
      </c>
      <c r="F38" s="23" t="s">
        <v>26</v>
      </c>
      <c r="G38" s="42" t="s">
        <v>133</v>
      </c>
      <c r="H38" s="20" t="s">
        <v>36</v>
      </c>
      <c r="I38" s="19" t="s">
        <v>134</v>
      </c>
      <c r="J38" s="20" t="s">
        <v>10</v>
      </c>
      <c r="K38" s="46" t="s">
        <v>151</v>
      </c>
      <c r="L38" s="76">
        <v>0.5</v>
      </c>
      <c r="M38" s="21"/>
      <c r="N38" s="21"/>
      <c r="O38" s="21"/>
      <c r="P38" s="54"/>
      <c r="Q38" s="54"/>
      <c r="R38" s="63"/>
      <c r="S38" s="67" t="s">
        <v>41</v>
      </c>
      <c r="T38" s="22" t="s">
        <v>42</v>
      </c>
      <c r="U38" s="19" t="s">
        <v>159</v>
      </c>
      <c r="V38" s="19" t="s">
        <v>38</v>
      </c>
      <c r="W38" s="23"/>
    </row>
    <row r="39" spans="1:23" ht="72" customHeight="1" x14ac:dyDescent="0.25">
      <c r="A39" s="95" t="s">
        <v>56</v>
      </c>
      <c r="B39" s="24" t="s">
        <v>99</v>
      </c>
      <c r="C39" s="25">
        <v>2302</v>
      </c>
      <c r="D39" s="43" t="s">
        <v>39</v>
      </c>
      <c r="E39" s="1" t="s">
        <v>236</v>
      </c>
      <c r="F39" s="25" t="s">
        <v>26</v>
      </c>
      <c r="G39" s="43" t="s">
        <v>230</v>
      </c>
      <c r="H39" s="2" t="s">
        <v>39</v>
      </c>
      <c r="I39" s="1" t="s">
        <v>28</v>
      </c>
      <c r="J39" s="2" t="s">
        <v>38</v>
      </c>
      <c r="K39" s="47" t="s">
        <v>39</v>
      </c>
      <c r="L39" s="57"/>
      <c r="M39" s="5"/>
      <c r="N39" s="5"/>
      <c r="O39" s="5"/>
      <c r="P39" s="56"/>
      <c r="Q39" s="56"/>
      <c r="R39" s="64"/>
      <c r="S39" s="68" t="s">
        <v>41</v>
      </c>
      <c r="T39" s="4" t="s">
        <v>42</v>
      </c>
      <c r="U39" s="1" t="s">
        <v>43</v>
      </c>
      <c r="V39" s="1" t="s">
        <v>38</v>
      </c>
      <c r="W39" s="25"/>
    </row>
    <row r="40" spans="1:23" ht="57" customHeight="1" x14ac:dyDescent="0.25">
      <c r="A40" s="95" t="s">
        <v>56</v>
      </c>
      <c r="B40" s="24" t="s">
        <v>99</v>
      </c>
      <c r="C40" s="25">
        <v>2302</v>
      </c>
      <c r="D40" s="43" t="s">
        <v>39</v>
      </c>
      <c r="E40" s="1" t="s">
        <v>237</v>
      </c>
      <c r="F40" s="25" t="s">
        <v>26</v>
      </c>
      <c r="G40" s="43" t="s">
        <v>238</v>
      </c>
      <c r="H40" s="2" t="s">
        <v>39</v>
      </c>
      <c r="I40" s="1" t="s">
        <v>28</v>
      </c>
      <c r="J40" s="2" t="s">
        <v>38</v>
      </c>
      <c r="K40" s="47" t="s">
        <v>39</v>
      </c>
      <c r="L40" s="57"/>
      <c r="M40" s="5"/>
      <c r="N40" s="5"/>
      <c r="O40" s="5"/>
      <c r="P40" s="56"/>
      <c r="Q40" s="56"/>
      <c r="R40" s="64"/>
      <c r="S40" s="68" t="s">
        <v>41</v>
      </c>
      <c r="T40" s="4" t="s">
        <v>42</v>
      </c>
      <c r="U40" s="1" t="s">
        <v>43</v>
      </c>
      <c r="V40" s="1" t="s">
        <v>38</v>
      </c>
      <c r="W40" s="25"/>
    </row>
    <row r="41" spans="1:23" ht="57" customHeight="1" x14ac:dyDescent="0.25">
      <c r="A41" s="95" t="s">
        <v>56</v>
      </c>
      <c r="B41" s="24" t="s">
        <v>99</v>
      </c>
      <c r="C41" s="25">
        <v>2302</v>
      </c>
      <c r="D41" s="43" t="s">
        <v>39</v>
      </c>
      <c r="E41" s="1" t="s">
        <v>239</v>
      </c>
      <c r="F41" s="25" t="s">
        <v>26</v>
      </c>
      <c r="G41" s="43" t="s">
        <v>27</v>
      </c>
      <c r="H41" s="2" t="s">
        <v>39</v>
      </c>
      <c r="I41" s="1" t="s">
        <v>28</v>
      </c>
      <c r="J41" s="2" t="s">
        <v>38</v>
      </c>
      <c r="K41" s="47" t="s">
        <v>39</v>
      </c>
      <c r="L41" s="57"/>
      <c r="M41" s="5"/>
      <c r="N41" s="5"/>
      <c r="O41" s="5"/>
      <c r="P41" s="56"/>
      <c r="Q41" s="56"/>
      <c r="R41" s="64"/>
      <c r="S41" s="68" t="s">
        <v>41</v>
      </c>
      <c r="T41" s="4" t="s">
        <v>42</v>
      </c>
      <c r="U41" s="1" t="s">
        <v>43</v>
      </c>
      <c r="V41" s="1" t="s">
        <v>38</v>
      </c>
      <c r="W41" s="25"/>
    </row>
    <row r="42" spans="1:23" ht="57" customHeight="1" x14ac:dyDescent="0.25">
      <c r="A42" s="95" t="s">
        <v>56</v>
      </c>
      <c r="B42" s="24" t="s">
        <v>99</v>
      </c>
      <c r="C42" s="25">
        <v>2302</v>
      </c>
      <c r="D42" s="43" t="s">
        <v>39</v>
      </c>
      <c r="E42" s="1" t="s">
        <v>240</v>
      </c>
      <c r="F42" s="25" t="s">
        <v>22</v>
      </c>
      <c r="G42" s="43" t="s">
        <v>183</v>
      </c>
      <c r="H42" s="2" t="s">
        <v>39</v>
      </c>
      <c r="I42" s="90" t="s">
        <v>30</v>
      </c>
      <c r="J42" s="2" t="s">
        <v>38</v>
      </c>
      <c r="K42" s="47" t="s">
        <v>39</v>
      </c>
      <c r="L42" s="57"/>
      <c r="M42" s="5"/>
      <c r="N42" s="5"/>
      <c r="O42" s="5"/>
      <c r="P42" s="56"/>
      <c r="Q42" s="56"/>
      <c r="R42" s="64"/>
      <c r="S42" s="68" t="s">
        <v>41</v>
      </c>
      <c r="T42" s="4" t="s">
        <v>42</v>
      </c>
      <c r="U42" s="1" t="s">
        <v>43</v>
      </c>
      <c r="V42" s="1" t="s">
        <v>38</v>
      </c>
      <c r="W42" s="25"/>
    </row>
    <row r="43" spans="1:23" ht="57" customHeight="1" x14ac:dyDescent="0.25">
      <c r="A43" s="95" t="s">
        <v>56</v>
      </c>
      <c r="B43" s="24" t="s">
        <v>99</v>
      </c>
      <c r="C43" s="25">
        <v>2302</v>
      </c>
      <c r="D43" s="43" t="s">
        <v>39</v>
      </c>
      <c r="E43" s="1" t="s">
        <v>241</v>
      </c>
      <c r="F43" s="25" t="s">
        <v>31</v>
      </c>
      <c r="G43" s="43" t="s">
        <v>242</v>
      </c>
      <c r="H43" s="2" t="s">
        <v>39</v>
      </c>
      <c r="I43" s="90" t="s">
        <v>24</v>
      </c>
      <c r="J43" s="2" t="s">
        <v>11</v>
      </c>
      <c r="K43" s="47" t="s">
        <v>120</v>
      </c>
      <c r="L43" s="57"/>
      <c r="M43" s="3">
        <v>0.03</v>
      </c>
      <c r="N43" s="3">
        <v>0</v>
      </c>
      <c r="O43" s="3">
        <v>0</v>
      </c>
      <c r="P43" s="56"/>
      <c r="Q43" s="56"/>
      <c r="R43" s="64"/>
      <c r="S43" s="68" t="s">
        <v>41</v>
      </c>
      <c r="T43" s="4" t="s">
        <v>42</v>
      </c>
      <c r="U43" s="1" t="s">
        <v>43</v>
      </c>
      <c r="V43" s="1" t="s">
        <v>38</v>
      </c>
      <c r="W43" s="25"/>
    </row>
    <row r="44" spans="1:23" ht="85.5" customHeight="1" x14ac:dyDescent="0.25">
      <c r="A44" s="95" t="s">
        <v>56</v>
      </c>
      <c r="B44" s="24" t="s">
        <v>99</v>
      </c>
      <c r="C44" s="25">
        <v>2302</v>
      </c>
      <c r="D44" s="43" t="s">
        <v>39</v>
      </c>
      <c r="E44" s="1" t="s">
        <v>243</v>
      </c>
      <c r="F44" s="25" t="s">
        <v>31</v>
      </c>
      <c r="G44" s="43" t="s">
        <v>242</v>
      </c>
      <c r="H44" s="2" t="s">
        <v>39</v>
      </c>
      <c r="I44" s="90" t="s">
        <v>24</v>
      </c>
      <c r="J44" s="2" t="s">
        <v>11</v>
      </c>
      <c r="K44" s="47" t="s">
        <v>120</v>
      </c>
      <c r="L44" s="57"/>
      <c r="M44" s="3">
        <v>0.02</v>
      </c>
      <c r="N44" s="3">
        <v>0</v>
      </c>
      <c r="O44" s="3">
        <v>0</v>
      </c>
      <c r="P44" s="56"/>
      <c r="Q44" s="56"/>
      <c r="R44" s="64"/>
      <c r="S44" s="68" t="s">
        <v>41</v>
      </c>
      <c r="T44" s="4" t="s">
        <v>42</v>
      </c>
      <c r="U44" s="1" t="s">
        <v>43</v>
      </c>
      <c r="V44" s="1" t="s">
        <v>38</v>
      </c>
      <c r="W44" s="25"/>
    </row>
    <row r="45" spans="1:23" ht="85.5" customHeight="1" x14ac:dyDescent="0.25">
      <c r="A45" s="95" t="s">
        <v>56</v>
      </c>
      <c r="B45" s="24" t="s">
        <v>99</v>
      </c>
      <c r="C45" s="25">
        <v>2302</v>
      </c>
      <c r="D45" s="43" t="s">
        <v>39</v>
      </c>
      <c r="E45" s="1" t="s">
        <v>244</v>
      </c>
      <c r="F45" s="25"/>
      <c r="G45" s="43" t="s">
        <v>166</v>
      </c>
      <c r="H45" s="2" t="s">
        <v>39</v>
      </c>
      <c r="I45" s="1" t="s">
        <v>245</v>
      </c>
      <c r="J45" s="2" t="s">
        <v>38</v>
      </c>
      <c r="K45" s="47" t="s">
        <v>39</v>
      </c>
      <c r="L45" s="57"/>
      <c r="M45" s="5"/>
      <c r="N45" s="5"/>
      <c r="O45" s="5"/>
      <c r="P45" s="56"/>
      <c r="Q45" s="56"/>
      <c r="R45" s="64"/>
      <c r="S45" s="68" t="s">
        <v>41</v>
      </c>
      <c r="T45" s="4" t="s">
        <v>42</v>
      </c>
      <c r="U45" s="1" t="s">
        <v>43</v>
      </c>
      <c r="V45" s="1" t="s">
        <v>38</v>
      </c>
      <c r="W45" s="25"/>
    </row>
    <row r="46" spans="1:23" ht="86.25" customHeight="1" thickBot="1" x14ac:dyDescent="0.3">
      <c r="A46" s="96" t="s">
        <v>56</v>
      </c>
      <c r="B46" s="26" t="s">
        <v>99</v>
      </c>
      <c r="C46" s="32">
        <v>2302</v>
      </c>
      <c r="D46" s="44" t="s">
        <v>39</v>
      </c>
      <c r="E46" s="27" t="s">
        <v>246</v>
      </c>
      <c r="F46" s="32"/>
      <c r="G46" s="44" t="s">
        <v>166</v>
      </c>
      <c r="H46" s="28" t="s">
        <v>39</v>
      </c>
      <c r="I46" s="27" t="s">
        <v>247</v>
      </c>
      <c r="J46" s="28" t="s">
        <v>38</v>
      </c>
      <c r="K46" s="48" t="s">
        <v>39</v>
      </c>
      <c r="L46" s="58"/>
      <c r="M46" s="29"/>
      <c r="N46" s="29"/>
      <c r="O46" s="29"/>
      <c r="P46" s="59"/>
      <c r="Q46" s="59"/>
      <c r="R46" s="65"/>
      <c r="S46" s="69" t="s">
        <v>41</v>
      </c>
      <c r="T46" s="31" t="s">
        <v>42</v>
      </c>
      <c r="U46" s="27" t="s">
        <v>43</v>
      </c>
      <c r="V46" s="27" t="s">
        <v>38</v>
      </c>
      <c r="W46" s="32"/>
    </row>
    <row r="47" spans="1:23" ht="85.5" customHeight="1" x14ac:dyDescent="0.25">
      <c r="A47" s="94" t="s">
        <v>56</v>
      </c>
      <c r="B47" s="18" t="s">
        <v>21</v>
      </c>
      <c r="C47" s="23">
        <v>1178</v>
      </c>
      <c r="D47" s="42" t="s">
        <v>250</v>
      </c>
      <c r="E47" s="19" t="s">
        <v>251</v>
      </c>
      <c r="F47" s="23" t="s">
        <v>22</v>
      </c>
      <c r="G47" s="42" t="s">
        <v>23</v>
      </c>
      <c r="H47" s="46" t="s">
        <v>36</v>
      </c>
      <c r="I47" s="42" t="s">
        <v>24</v>
      </c>
      <c r="J47" s="20" t="s">
        <v>11</v>
      </c>
      <c r="K47" s="46" t="s">
        <v>120</v>
      </c>
      <c r="L47" s="53"/>
      <c r="M47" s="98">
        <v>232.35550679301929</v>
      </c>
      <c r="N47" s="98">
        <v>232.35550679301929</v>
      </c>
      <c r="O47" s="98">
        <v>232.35550679301929</v>
      </c>
      <c r="P47" s="54">
        <v>232.35550679301929</v>
      </c>
      <c r="Q47" s="54">
        <v>232.35550679301929</v>
      </c>
      <c r="R47" s="63" t="s">
        <v>252</v>
      </c>
      <c r="S47" s="67" t="s">
        <v>41</v>
      </c>
      <c r="T47" s="22" t="s">
        <v>42</v>
      </c>
      <c r="U47" s="19" t="s">
        <v>159</v>
      </c>
      <c r="V47" s="19" t="s">
        <v>25</v>
      </c>
      <c r="W47" s="23">
        <v>44510</v>
      </c>
    </row>
    <row r="48" spans="1:23" ht="85.5" customHeight="1" x14ac:dyDescent="0.25">
      <c r="A48" s="95" t="s">
        <v>56</v>
      </c>
      <c r="B48" s="24" t="s">
        <v>21</v>
      </c>
      <c r="C48" s="25">
        <v>1178</v>
      </c>
      <c r="D48" s="43" t="s">
        <v>253</v>
      </c>
      <c r="E48" s="1" t="s">
        <v>254</v>
      </c>
      <c r="F48" s="25" t="s">
        <v>22</v>
      </c>
      <c r="G48" s="43" t="s">
        <v>23</v>
      </c>
      <c r="H48" s="47" t="s">
        <v>36</v>
      </c>
      <c r="I48" s="43" t="s">
        <v>24</v>
      </c>
      <c r="J48" s="2" t="s">
        <v>11</v>
      </c>
      <c r="K48" s="47" t="s">
        <v>120</v>
      </c>
      <c r="L48" s="57"/>
      <c r="M48" s="3">
        <v>5.7742713879107033</v>
      </c>
      <c r="N48" s="3">
        <v>5.7742713879107033</v>
      </c>
      <c r="O48" s="3">
        <v>5.7742713879107033</v>
      </c>
      <c r="P48" s="56">
        <v>5.7742713879107033</v>
      </c>
      <c r="Q48" s="56">
        <v>5.7742713879107033</v>
      </c>
      <c r="R48" s="64" t="s">
        <v>255</v>
      </c>
      <c r="S48" s="68" t="s">
        <v>41</v>
      </c>
      <c r="T48" s="4" t="s">
        <v>42</v>
      </c>
      <c r="U48" s="1" t="s">
        <v>159</v>
      </c>
      <c r="V48" s="1" t="s">
        <v>25</v>
      </c>
      <c r="W48" s="25">
        <v>44510</v>
      </c>
    </row>
    <row r="49" spans="1:23" ht="57" customHeight="1" x14ac:dyDescent="0.25">
      <c r="A49" s="95" t="s">
        <v>56</v>
      </c>
      <c r="B49" s="24" t="s">
        <v>21</v>
      </c>
      <c r="C49" s="25">
        <v>1178</v>
      </c>
      <c r="D49" s="43" t="s">
        <v>256</v>
      </c>
      <c r="E49" s="1" t="s">
        <v>257</v>
      </c>
      <c r="F49" s="25" t="s">
        <v>22</v>
      </c>
      <c r="G49" s="43" t="s">
        <v>23</v>
      </c>
      <c r="H49" s="47" t="s">
        <v>36</v>
      </c>
      <c r="I49" s="43" t="s">
        <v>24</v>
      </c>
      <c r="J49" s="2" t="s">
        <v>11</v>
      </c>
      <c r="K49" s="47" t="s">
        <v>120</v>
      </c>
      <c r="L49" s="57"/>
      <c r="M49" s="3">
        <v>3.8507617447275067</v>
      </c>
      <c r="N49" s="3">
        <v>3.8507617447275067</v>
      </c>
      <c r="O49" s="3">
        <v>3.8507617447275067</v>
      </c>
      <c r="P49" s="56">
        <v>3.8507617447275067</v>
      </c>
      <c r="Q49" s="56">
        <v>3.8507617447275067</v>
      </c>
      <c r="R49" s="64" t="s">
        <v>255</v>
      </c>
      <c r="S49" s="68" t="s">
        <v>41</v>
      </c>
      <c r="T49" s="4" t="s">
        <v>42</v>
      </c>
      <c r="U49" s="1" t="s">
        <v>159</v>
      </c>
      <c r="V49" s="1" t="s">
        <v>25</v>
      </c>
      <c r="W49" s="25">
        <v>44510</v>
      </c>
    </row>
    <row r="50" spans="1:23" ht="409.5" customHeight="1" x14ac:dyDescent="0.25">
      <c r="A50" s="95" t="s">
        <v>56</v>
      </c>
      <c r="B50" s="24" t="s">
        <v>21</v>
      </c>
      <c r="C50" s="25">
        <v>1178</v>
      </c>
      <c r="D50" s="43" t="s">
        <v>258</v>
      </c>
      <c r="E50" s="1" t="s">
        <v>259</v>
      </c>
      <c r="F50" s="25" t="s">
        <v>22</v>
      </c>
      <c r="G50" s="43" t="s">
        <v>23</v>
      </c>
      <c r="H50" s="47" t="s">
        <v>36</v>
      </c>
      <c r="I50" s="43" t="s">
        <v>24</v>
      </c>
      <c r="J50" s="2" t="s">
        <v>11</v>
      </c>
      <c r="K50" s="47" t="s">
        <v>120</v>
      </c>
      <c r="L50" s="57"/>
      <c r="M50" s="3">
        <v>1.2860822204832427</v>
      </c>
      <c r="N50" s="3">
        <v>1.2860822204832427</v>
      </c>
      <c r="O50" s="3">
        <v>1.2860822204832427</v>
      </c>
      <c r="P50" s="56">
        <v>1.2860822204832427</v>
      </c>
      <c r="Q50" s="56">
        <v>1.2860822204832427</v>
      </c>
      <c r="R50" s="64" t="s">
        <v>260</v>
      </c>
      <c r="S50" s="68" t="s">
        <v>41</v>
      </c>
      <c r="T50" s="4" t="s">
        <v>42</v>
      </c>
      <c r="U50" s="1" t="s">
        <v>159</v>
      </c>
      <c r="V50" s="1" t="s">
        <v>25</v>
      </c>
      <c r="W50" s="25">
        <v>44510</v>
      </c>
    </row>
    <row r="51" spans="1:23" ht="57" customHeight="1" x14ac:dyDescent="0.25">
      <c r="A51" s="95" t="s">
        <v>56</v>
      </c>
      <c r="B51" s="24" t="s">
        <v>21</v>
      </c>
      <c r="C51" s="25">
        <v>1178</v>
      </c>
      <c r="D51" s="43" t="s">
        <v>261</v>
      </c>
      <c r="E51" s="1" t="s">
        <v>262</v>
      </c>
      <c r="F51" s="25" t="s">
        <v>22</v>
      </c>
      <c r="G51" s="43" t="s">
        <v>23</v>
      </c>
      <c r="H51" s="47" t="s">
        <v>36</v>
      </c>
      <c r="I51" s="43" t="s">
        <v>24</v>
      </c>
      <c r="J51" s="2" t="s">
        <v>11</v>
      </c>
      <c r="K51" s="47" t="s">
        <v>120</v>
      </c>
      <c r="L51" s="57"/>
      <c r="M51" s="3">
        <v>20.949912211765053</v>
      </c>
      <c r="N51" s="3">
        <v>20.949912211765053</v>
      </c>
      <c r="O51" s="3">
        <v>20.949912211765053</v>
      </c>
      <c r="P51" s="56">
        <v>20.949912211765053</v>
      </c>
      <c r="Q51" s="56">
        <v>20.949912211765053</v>
      </c>
      <c r="R51" s="64" t="s">
        <v>263</v>
      </c>
      <c r="S51" s="68" t="s">
        <v>41</v>
      </c>
      <c r="T51" s="4" t="s">
        <v>42</v>
      </c>
      <c r="U51" s="1" t="s">
        <v>159</v>
      </c>
      <c r="V51" s="1" t="s">
        <v>25</v>
      </c>
      <c r="W51" s="25">
        <v>44510</v>
      </c>
    </row>
    <row r="52" spans="1:23" ht="57" customHeight="1" x14ac:dyDescent="0.25">
      <c r="A52" s="95" t="s">
        <v>56</v>
      </c>
      <c r="B52" s="24" t="s">
        <v>21</v>
      </c>
      <c r="C52" s="25">
        <v>1178</v>
      </c>
      <c r="D52" s="43" t="s">
        <v>264</v>
      </c>
      <c r="E52" s="1" t="s">
        <v>265</v>
      </c>
      <c r="F52" s="25" t="s">
        <v>22</v>
      </c>
      <c r="G52" s="43" t="s">
        <v>266</v>
      </c>
      <c r="H52" s="47" t="s">
        <v>249</v>
      </c>
      <c r="I52" s="43" t="s">
        <v>192</v>
      </c>
      <c r="J52" s="2" t="s">
        <v>11</v>
      </c>
      <c r="K52" s="47" t="s">
        <v>151</v>
      </c>
      <c r="L52" s="57"/>
      <c r="M52" s="3">
        <v>42.9</v>
      </c>
      <c r="N52" s="3">
        <v>42.9</v>
      </c>
      <c r="O52" s="3">
        <v>42.9</v>
      </c>
      <c r="P52" s="56">
        <v>42.9</v>
      </c>
      <c r="Q52" s="56">
        <v>42.9</v>
      </c>
      <c r="R52" s="64" t="s">
        <v>267</v>
      </c>
      <c r="S52" s="68" t="s">
        <v>41</v>
      </c>
      <c r="T52" s="4" t="s">
        <v>42</v>
      </c>
      <c r="U52" s="1" t="s">
        <v>43</v>
      </c>
      <c r="V52" s="1" t="s">
        <v>25</v>
      </c>
      <c r="W52" s="25">
        <v>90000</v>
      </c>
    </row>
    <row r="53" spans="1:23" ht="185.25" customHeight="1" x14ac:dyDescent="0.25">
      <c r="A53" s="95" t="s">
        <v>56</v>
      </c>
      <c r="B53" s="24" t="s">
        <v>21</v>
      </c>
      <c r="C53" s="25">
        <v>1178</v>
      </c>
      <c r="D53" s="43" t="s">
        <v>268</v>
      </c>
      <c r="E53" s="1" t="s">
        <v>269</v>
      </c>
      <c r="F53" s="25" t="s">
        <v>26</v>
      </c>
      <c r="G53" s="43" t="s">
        <v>27</v>
      </c>
      <c r="H53" s="47" t="s">
        <v>39</v>
      </c>
      <c r="I53" s="43" t="s">
        <v>28</v>
      </c>
      <c r="J53" s="2" t="s">
        <v>38</v>
      </c>
      <c r="K53" s="47" t="s">
        <v>39</v>
      </c>
      <c r="L53" s="57"/>
      <c r="M53" s="5"/>
      <c r="N53" s="5"/>
      <c r="O53" s="5"/>
      <c r="P53" s="56"/>
      <c r="Q53" s="56"/>
      <c r="R53" s="64" t="s">
        <v>270</v>
      </c>
      <c r="S53" s="68" t="s">
        <v>41</v>
      </c>
      <c r="T53" s="4" t="s">
        <v>42</v>
      </c>
      <c r="U53" s="1" t="s">
        <v>43</v>
      </c>
      <c r="V53" s="1" t="s">
        <v>25</v>
      </c>
      <c r="W53" s="25">
        <v>44040</v>
      </c>
    </row>
    <row r="54" spans="1:23" ht="71.25" customHeight="1" x14ac:dyDescent="0.25">
      <c r="A54" s="95" t="s">
        <v>56</v>
      </c>
      <c r="B54" s="24" t="s">
        <v>21</v>
      </c>
      <c r="C54" s="25">
        <v>1178</v>
      </c>
      <c r="D54" s="43" t="s">
        <v>271</v>
      </c>
      <c r="E54" s="1" t="s">
        <v>272</v>
      </c>
      <c r="F54" s="25" t="s">
        <v>26</v>
      </c>
      <c r="G54" s="43" t="s">
        <v>27</v>
      </c>
      <c r="H54" s="47" t="s">
        <v>39</v>
      </c>
      <c r="I54" s="43" t="s">
        <v>28</v>
      </c>
      <c r="J54" s="2" t="s">
        <v>38</v>
      </c>
      <c r="K54" s="47" t="s">
        <v>39</v>
      </c>
      <c r="L54" s="57"/>
      <c r="M54" s="5"/>
      <c r="N54" s="5"/>
      <c r="O54" s="5"/>
      <c r="P54" s="56"/>
      <c r="Q54" s="56"/>
      <c r="R54" s="64" t="s">
        <v>273</v>
      </c>
      <c r="S54" s="68" t="s">
        <v>41</v>
      </c>
      <c r="T54" s="4" t="s">
        <v>42</v>
      </c>
      <c r="U54" s="1" t="s">
        <v>43</v>
      </c>
      <c r="V54" s="1" t="s">
        <v>25</v>
      </c>
      <c r="W54" s="25">
        <v>44040</v>
      </c>
    </row>
    <row r="55" spans="1:23" ht="57" customHeight="1" x14ac:dyDescent="0.25">
      <c r="A55" s="95" t="s">
        <v>56</v>
      </c>
      <c r="B55" s="24" t="s">
        <v>21</v>
      </c>
      <c r="C55" s="25">
        <v>1178</v>
      </c>
      <c r="D55" s="43" t="s">
        <v>274</v>
      </c>
      <c r="E55" s="1" t="s">
        <v>275</v>
      </c>
      <c r="F55" s="25" t="s">
        <v>26</v>
      </c>
      <c r="G55" s="43" t="s">
        <v>27</v>
      </c>
      <c r="H55" s="47" t="s">
        <v>39</v>
      </c>
      <c r="I55" s="43" t="s">
        <v>30</v>
      </c>
      <c r="J55" s="2" t="s">
        <v>38</v>
      </c>
      <c r="K55" s="47" t="s">
        <v>39</v>
      </c>
      <c r="L55" s="57"/>
      <c r="M55" s="5"/>
      <c r="N55" s="5"/>
      <c r="O55" s="5"/>
      <c r="P55" s="56"/>
      <c r="Q55" s="56"/>
      <c r="R55" s="64" t="s">
        <v>276</v>
      </c>
      <c r="S55" s="68" t="s">
        <v>41</v>
      </c>
      <c r="T55" s="4" t="s">
        <v>42</v>
      </c>
      <c r="U55" s="1" t="s">
        <v>43</v>
      </c>
      <c r="V55" s="1" t="s">
        <v>25</v>
      </c>
      <c r="W55" s="25">
        <v>44040</v>
      </c>
    </row>
    <row r="56" spans="1:23" ht="57" customHeight="1" x14ac:dyDescent="0.25">
      <c r="A56" s="95" t="s">
        <v>56</v>
      </c>
      <c r="B56" s="24" t="s">
        <v>21</v>
      </c>
      <c r="C56" s="25">
        <v>1178</v>
      </c>
      <c r="D56" s="43" t="s">
        <v>277</v>
      </c>
      <c r="E56" s="1" t="s">
        <v>278</v>
      </c>
      <c r="F56" s="25" t="s">
        <v>26</v>
      </c>
      <c r="G56" s="43" t="s">
        <v>27</v>
      </c>
      <c r="H56" s="47" t="s">
        <v>39</v>
      </c>
      <c r="I56" s="43" t="s">
        <v>28</v>
      </c>
      <c r="J56" s="2" t="s">
        <v>38</v>
      </c>
      <c r="K56" s="47" t="s">
        <v>39</v>
      </c>
      <c r="L56" s="57"/>
      <c r="M56" s="5"/>
      <c r="N56" s="5"/>
      <c r="O56" s="5"/>
      <c r="P56" s="56"/>
      <c r="Q56" s="56"/>
      <c r="R56" s="64" t="s">
        <v>279</v>
      </c>
      <c r="S56" s="68" t="s">
        <v>41</v>
      </c>
      <c r="T56" s="4" t="s">
        <v>42</v>
      </c>
      <c r="U56" s="1" t="s">
        <v>43</v>
      </c>
      <c r="V56" s="1" t="s">
        <v>25</v>
      </c>
      <c r="W56" s="25">
        <v>44040</v>
      </c>
    </row>
    <row r="57" spans="1:23" ht="57" customHeight="1" x14ac:dyDescent="0.25">
      <c r="A57" s="95" t="s">
        <v>56</v>
      </c>
      <c r="B57" s="24" t="s">
        <v>21</v>
      </c>
      <c r="C57" s="25">
        <v>1178</v>
      </c>
      <c r="D57" s="43" t="s">
        <v>280</v>
      </c>
      <c r="E57" s="1" t="s">
        <v>281</v>
      </c>
      <c r="F57" s="25" t="s">
        <v>26</v>
      </c>
      <c r="G57" s="43" t="s">
        <v>29</v>
      </c>
      <c r="H57" s="47" t="s">
        <v>39</v>
      </c>
      <c r="I57" s="43" t="s">
        <v>28</v>
      </c>
      <c r="J57" s="2" t="s">
        <v>38</v>
      </c>
      <c r="K57" s="47" t="s">
        <v>39</v>
      </c>
      <c r="L57" s="57"/>
      <c r="M57" s="5"/>
      <c r="N57" s="5"/>
      <c r="O57" s="5"/>
      <c r="P57" s="56"/>
      <c r="Q57" s="56"/>
      <c r="R57" s="64" t="s">
        <v>279</v>
      </c>
      <c r="S57" s="68" t="s">
        <v>41</v>
      </c>
      <c r="T57" s="4" t="s">
        <v>42</v>
      </c>
      <c r="U57" s="1" t="s">
        <v>43</v>
      </c>
      <c r="V57" s="1" t="s">
        <v>25</v>
      </c>
      <c r="W57" s="25">
        <v>44040</v>
      </c>
    </row>
    <row r="58" spans="1:23" ht="99.75" customHeight="1" x14ac:dyDescent="0.25">
      <c r="A58" s="95" t="s">
        <v>56</v>
      </c>
      <c r="B58" s="24" t="s">
        <v>21</v>
      </c>
      <c r="C58" s="25">
        <v>1178</v>
      </c>
      <c r="D58" s="43" t="s">
        <v>282</v>
      </c>
      <c r="E58" s="1" t="s">
        <v>283</v>
      </c>
      <c r="F58" s="25" t="s">
        <v>284</v>
      </c>
      <c r="G58" s="43" t="s">
        <v>27</v>
      </c>
      <c r="H58" s="47" t="s">
        <v>39</v>
      </c>
      <c r="I58" s="43" t="s">
        <v>30</v>
      </c>
      <c r="J58" s="2" t="s">
        <v>38</v>
      </c>
      <c r="K58" s="47" t="s">
        <v>39</v>
      </c>
      <c r="L58" s="57"/>
      <c r="M58" s="5"/>
      <c r="N58" s="5"/>
      <c r="O58" s="5"/>
      <c r="P58" s="56"/>
      <c r="Q58" s="56"/>
      <c r="R58" s="64" t="s">
        <v>285</v>
      </c>
      <c r="S58" s="68" t="s">
        <v>41</v>
      </c>
      <c r="T58" s="4" t="s">
        <v>42</v>
      </c>
      <c r="U58" s="1" t="s">
        <v>43</v>
      </c>
      <c r="V58" s="1" t="s">
        <v>25</v>
      </c>
      <c r="W58" s="25">
        <v>44040</v>
      </c>
    </row>
    <row r="59" spans="1:23" ht="57" customHeight="1" x14ac:dyDescent="0.25">
      <c r="A59" s="95" t="s">
        <v>56</v>
      </c>
      <c r="B59" s="24" t="s">
        <v>21</v>
      </c>
      <c r="C59" s="25">
        <v>1178</v>
      </c>
      <c r="D59" s="43" t="s">
        <v>286</v>
      </c>
      <c r="E59" s="1" t="s">
        <v>287</v>
      </c>
      <c r="F59" s="25" t="s">
        <v>31</v>
      </c>
      <c r="G59" s="43" t="s">
        <v>27</v>
      </c>
      <c r="H59" s="47" t="s">
        <v>39</v>
      </c>
      <c r="I59" s="43" t="s">
        <v>24</v>
      </c>
      <c r="J59" s="2" t="s">
        <v>11</v>
      </c>
      <c r="K59" s="47" t="s">
        <v>120</v>
      </c>
      <c r="L59" s="57"/>
      <c r="M59" s="3">
        <v>1.298436130272238</v>
      </c>
      <c r="N59" s="3">
        <v>1.298436130272238</v>
      </c>
      <c r="O59" s="3">
        <v>1.298436130272238</v>
      </c>
      <c r="P59" s="56">
        <v>1.298436130272238</v>
      </c>
      <c r="Q59" s="56">
        <v>1.298436130272238</v>
      </c>
      <c r="R59" s="64" t="s">
        <v>288</v>
      </c>
      <c r="S59" s="68" t="s">
        <v>41</v>
      </c>
      <c r="T59" s="4" t="s">
        <v>42</v>
      </c>
      <c r="U59" s="1" t="s">
        <v>159</v>
      </c>
      <c r="V59" s="1" t="s">
        <v>25</v>
      </c>
      <c r="W59" s="25">
        <v>44510</v>
      </c>
    </row>
    <row r="60" spans="1:23" ht="85.5" customHeight="1" x14ac:dyDescent="0.25">
      <c r="A60" s="95" t="s">
        <v>56</v>
      </c>
      <c r="B60" s="24" t="s">
        <v>21</v>
      </c>
      <c r="C60" s="25">
        <v>1235</v>
      </c>
      <c r="D60" s="43" t="s">
        <v>289</v>
      </c>
      <c r="E60" s="1" t="s">
        <v>251</v>
      </c>
      <c r="F60" s="25" t="s">
        <v>22</v>
      </c>
      <c r="G60" s="43" t="s">
        <v>23</v>
      </c>
      <c r="H60" s="47" t="s">
        <v>36</v>
      </c>
      <c r="I60" s="43" t="s">
        <v>24</v>
      </c>
      <c r="J60" s="2" t="s">
        <v>11</v>
      </c>
      <c r="K60" s="47" t="s">
        <v>120</v>
      </c>
      <c r="L60" s="57"/>
      <c r="M60" s="3">
        <v>1.0526372312273855</v>
      </c>
      <c r="N60" s="3">
        <v>1.0526372312273855</v>
      </c>
      <c r="O60" s="3">
        <v>1.0526372312273855</v>
      </c>
      <c r="P60" s="56">
        <v>1.0526372312273855</v>
      </c>
      <c r="Q60" s="56">
        <v>1.0526372312273855</v>
      </c>
      <c r="R60" s="64" t="s">
        <v>252</v>
      </c>
      <c r="S60" s="68" t="s">
        <v>41</v>
      </c>
      <c r="T60" s="4" t="s">
        <v>42</v>
      </c>
      <c r="U60" s="1" t="s">
        <v>159</v>
      </c>
      <c r="V60" s="1" t="s">
        <v>25</v>
      </c>
      <c r="W60" s="25">
        <v>44510</v>
      </c>
    </row>
    <row r="61" spans="1:23" ht="85.5" customHeight="1" x14ac:dyDescent="0.25">
      <c r="A61" s="95" t="s">
        <v>56</v>
      </c>
      <c r="B61" s="24" t="s">
        <v>21</v>
      </c>
      <c r="C61" s="25">
        <v>1235</v>
      </c>
      <c r="D61" s="43" t="s">
        <v>290</v>
      </c>
      <c r="E61" s="1" t="s">
        <v>291</v>
      </c>
      <c r="F61" s="25" t="s">
        <v>26</v>
      </c>
      <c r="G61" s="43" t="s">
        <v>23</v>
      </c>
      <c r="H61" s="47" t="s">
        <v>36</v>
      </c>
      <c r="I61" s="43" t="s">
        <v>37</v>
      </c>
      <c r="J61" s="2" t="s">
        <v>38</v>
      </c>
      <c r="K61" s="47" t="s">
        <v>39</v>
      </c>
      <c r="L61" s="57"/>
      <c r="M61" s="5"/>
      <c r="N61" s="5"/>
      <c r="O61" s="5"/>
      <c r="P61" s="56"/>
      <c r="Q61" s="56">
        <v>-1.3</v>
      </c>
      <c r="R61" s="64" t="s">
        <v>292</v>
      </c>
      <c r="S61" s="68" t="s">
        <v>41</v>
      </c>
      <c r="T61" s="4" t="s">
        <v>42</v>
      </c>
      <c r="U61" s="1" t="s">
        <v>43</v>
      </c>
      <c r="V61" s="1" t="s">
        <v>25</v>
      </c>
      <c r="W61" s="25">
        <v>44040</v>
      </c>
    </row>
    <row r="62" spans="1:23" ht="71.25" customHeight="1" x14ac:dyDescent="0.25">
      <c r="A62" s="95" t="s">
        <v>56</v>
      </c>
      <c r="B62" s="24" t="s">
        <v>21</v>
      </c>
      <c r="C62" s="25">
        <v>1235</v>
      </c>
      <c r="D62" s="43" t="s">
        <v>293</v>
      </c>
      <c r="E62" s="1" t="s">
        <v>294</v>
      </c>
      <c r="F62" s="25" t="s">
        <v>26</v>
      </c>
      <c r="G62" s="43" t="s">
        <v>23</v>
      </c>
      <c r="H62" s="47" t="s">
        <v>36</v>
      </c>
      <c r="I62" s="99" t="s">
        <v>51</v>
      </c>
      <c r="J62" s="2" t="s">
        <v>11</v>
      </c>
      <c r="K62" s="47" t="s">
        <v>49</v>
      </c>
      <c r="L62" s="57"/>
      <c r="M62" s="3">
        <v>0</v>
      </c>
      <c r="N62" s="3">
        <v>0</v>
      </c>
      <c r="O62" s="3">
        <v>0</v>
      </c>
      <c r="P62" s="56" t="s">
        <v>303</v>
      </c>
      <c r="Q62" s="56" t="s">
        <v>303</v>
      </c>
      <c r="R62" s="64" t="s">
        <v>295</v>
      </c>
      <c r="S62" s="68" t="s">
        <v>41</v>
      </c>
      <c r="T62" s="4" t="s">
        <v>42</v>
      </c>
      <c r="U62" s="1" t="s">
        <v>43</v>
      </c>
      <c r="V62" s="1" t="s">
        <v>25</v>
      </c>
      <c r="W62" s="25">
        <v>44040</v>
      </c>
    </row>
    <row r="63" spans="1:23" ht="71.25" customHeight="1" x14ac:dyDescent="0.25">
      <c r="A63" s="95" t="s">
        <v>56</v>
      </c>
      <c r="B63" s="24" t="s">
        <v>21</v>
      </c>
      <c r="C63" s="25">
        <v>1235</v>
      </c>
      <c r="D63" s="43" t="s">
        <v>296</v>
      </c>
      <c r="E63" s="1" t="s">
        <v>297</v>
      </c>
      <c r="F63" s="25" t="s">
        <v>46</v>
      </c>
      <c r="G63" s="43" t="s">
        <v>23</v>
      </c>
      <c r="H63" s="47" t="s">
        <v>36</v>
      </c>
      <c r="I63" s="99" t="s">
        <v>51</v>
      </c>
      <c r="J63" s="2" t="s">
        <v>11</v>
      </c>
      <c r="K63" s="47" t="s">
        <v>49</v>
      </c>
      <c r="L63" s="57"/>
      <c r="M63" s="3">
        <v>3.8757928333333336E-3</v>
      </c>
      <c r="N63" s="3">
        <v>3.8757928333333336E-3</v>
      </c>
      <c r="O63" s="3">
        <v>3.8757928333333336E-3</v>
      </c>
      <c r="P63" s="56">
        <v>3.8757928333333336E-3</v>
      </c>
      <c r="Q63" s="56">
        <v>3.8757928333333336E-3</v>
      </c>
      <c r="R63" s="64" t="s">
        <v>298</v>
      </c>
      <c r="S63" s="68" t="s">
        <v>41</v>
      </c>
      <c r="T63" s="4" t="s">
        <v>42</v>
      </c>
      <c r="U63" s="1" t="s">
        <v>159</v>
      </c>
      <c r="V63" s="1" t="s">
        <v>25</v>
      </c>
      <c r="W63" s="25">
        <v>44510</v>
      </c>
    </row>
    <row r="64" spans="1:23" ht="85.5" customHeight="1" x14ac:dyDescent="0.25">
      <c r="A64" s="95" t="s">
        <v>56</v>
      </c>
      <c r="B64" s="24" t="s">
        <v>21</v>
      </c>
      <c r="C64" s="25">
        <v>1235</v>
      </c>
      <c r="D64" s="43" t="s">
        <v>299</v>
      </c>
      <c r="E64" s="1" t="s">
        <v>300</v>
      </c>
      <c r="F64" s="25" t="s">
        <v>26</v>
      </c>
      <c r="G64" s="43" t="s">
        <v>133</v>
      </c>
      <c r="H64" s="47" t="s">
        <v>36</v>
      </c>
      <c r="I64" s="43" t="s">
        <v>192</v>
      </c>
      <c r="J64" s="2" t="s">
        <v>11</v>
      </c>
      <c r="K64" s="47" t="s">
        <v>151</v>
      </c>
      <c r="L64" s="57"/>
      <c r="M64" s="3">
        <v>1E-3</v>
      </c>
      <c r="N64" s="3">
        <v>1E-3</v>
      </c>
      <c r="O64" s="3">
        <v>1E-3</v>
      </c>
      <c r="P64" s="56">
        <v>1E-3</v>
      </c>
      <c r="Q64" s="56">
        <v>1E-3</v>
      </c>
      <c r="R64" s="64" t="s">
        <v>301</v>
      </c>
      <c r="S64" s="68" t="s">
        <v>41</v>
      </c>
      <c r="T64" s="4" t="s">
        <v>42</v>
      </c>
      <c r="U64" s="1" t="s">
        <v>43</v>
      </c>
      <c r="V64" s="1" t="s">
        <v>25</v>
      </c>
      <c r="W64" s="25">
        <v>90000</v>
      </c>
    </row>
    <row r="65" spans="1:23" ht="99.75" customHeight="1" x14ac:dyDescent="0.25">
      <c r="A65" s="95" t="s">
        <v>56</v>
      </c>
      <c r="B65" s="24" t="s">
        <v>21</v>
      </c>
      <c r="C65" s="25">
        <v>1235</v>
      </c>
      <c r="D65" s="43" t="s">
        <v>268</v>
      </c>
      <c r="E65" s="1" t="s">
        <v>302</v>
      </c>
      <c r="F65" s="25" t="s">
        <v>26</v>
      </c>
      <c r="G65" s="43" t="s">
        <v>29</v>
      </c>
      <c r="H65" s="47" t="s">
        <v>39</v>
      </c>
      <c r="I65" s="43" t="s">
        <v>28</v>
      </c>
      <c r="J65" s="2" t="s">
        <v>38</v>
      </c>
      <c r="K65" s="47" t="s">
        <v>39</v>
      </c>
      <c r="L65" s="57"/>
      <c r="M65" s="5"/>
      <c r="N65" s="5"/>
      <c r="O65" s="5"/>
      <c r="P65" s="56"/>
      <c r="Q65" s="56"/>
      <c r="R65" s="64" t="s">
        <v>273</v>
      </c>
      <c r="S65" s="68" t="s">
        <v>41</v>
      </c>
      <c r="T65" s="4" t="s">
        <v>42</v>
      </c>
      <c r="U65" s="1" t="s">
        <v>43</v>
      </c>
      <c r="V65" s="1" t="s">
        <v>25</v>
      </c>
      <c r="W65" s="25">
        <v>44040</v>
      </c>
    </row>
    <row r="66" spans="1:23" ht="71.25" customHeight="1" x14ac:dyDescent="0.25">
      <c r="A66" s="95" t="s">
        <v>56</v>
      </c>
      <c r="B66" s="24" t="s">
        <v>21</v>
      </c>
      <c r="C66" s="25">
        <v>1235</v>
      </c>
      <c r="D66" s="43" t="s">
        <v>271</v>
      </c>
      <c r="E66" s="1" t="s">
        <v>272</v>
      </c>
      <c r="F66" s="25" t="s">
        <v>26</v>
      </c>
      <c r="G66" s="43" t="s">
        <v>29</v>
      </c>
      <c r="H66" s="47" t="s">
        <v>39</v>
      </c>
      <c r="I66" s="43" t="s">
        <v>28</v>
      </c>
      <c r="J66" s="2" t="s">
        <v>38</v>
      </c>
      <c r="K66" s="47" t="s">
        <v>39</v>
      </c>
      <c r="L66" s="57"/>
      <c r="M66" s="5"/>
      <c r="N66" s="5"/>
      <c r="O66" s="5"/>
      <c r="P66" s="56"/>
      <c r="Q66" s="56"/>
      <c r="R66" s="64" t="s">
        <v>273</v>
      </c>
      <c r="S66" s="68" t="s">
        <v>41</v>
      </c>
      <c r="T66" s="4" t="s">
        <v>42</v>
      </c>
      <c r="U66" s="1" t="s">
        <v>43</v>
      </c>
      <c r="V66" s="1" t="s">
        <v>25</v>
      </c>
      <c r="W66" s="25">
        <v>44040</v>
      </c>
    </row>
    <row r="67" spans="1:23" ht="57" customHeight="1" x14ac:dyDescent="0.25">
      <c r="A67" s="95" t="s">
        <v>56</v>
      </c>
      <c r="B67" s="24" t="s">
        <v>21</v>
      </c>
      <c r="C67" s="25">
        <v>1235</v>
      </c>
      <c r="D67" s="43" t="s">
        <v>274</v>
      </c>
      <c r="E67" s="1" t="s">
        <v>275</v>
      </c>
      <c r="F67" s="25" t="s">
        <v>26</v>
      </c>
      <c r="G67" s="43" t="s">
        <v>29</v>
      </c>
      <c r="H67" s="47" t="s">
        <v>39</v>
      </c>
      <c r="I67" s="43" t="s">
        <v>30</v>
      </c>
      <c r="J67" s="2" t="s">
        <v>38</v>
      </c>
      <c r="K67" s="47" t="s">
        <v>39</v>
      </c>
      <c r="L67" s="57"/>
      <c r="M67" s="5"/>
      <c r="N67" s="5"/>
      <c r="O67" s="5"/>
      <c r="P67" s="56"/>
      <c r="Q67" s="56"/>
      <c r="R67" s="64" t="s">
        <v>276</v>
      </c>
      <c r="S67" s="68" t="s">
        <v>41</v>
      </c>
      <c r="T67" s="4" t="s">
        <v>42</v>
      </c>
      <c r="U67" s="1" t="s">
        <v>43</v>
      </c>
      <c r="V67" s="1" t="s">
        <v>25</v>
      </c>
      <c r="W67" s="25">
        <v>44040</v>
      </c>
    </row>
    <row r="68" spans="1:23" ht="57" customHeight="1" x14ac:dyDescent="0.25">
      <c r="A68" s="95" t="s">
        <v>56</v>
      </c>
      <c r="B68" s="24" t="s">
        <v>21</v>
      </c>
      <c r="C68" s="25">
        <v>1235</v>
      </c>
      <c r="D68" s="43" t="s">
        <v>277</v>
      </c>
      <c r="E68" s="1" t="s">
        <v>278</v>
      </c>
      <c r="F68" s="25" t="s">
        <v>26</v>
      </c>
      <c r="G68" s="43" t="s">
        <v>29</v>
      </c>
      <c r="H68" s="47" t="s">
        <v>39</v>
      </c>
      <c r="I68" s="43" t="s">
        <v>28</v>
      </c>
      <c r="J68" s="2" t="s">
        <v>38</v>
      </c>
      <c r="K68" s="47" t="s">
        <v>39</v>
      </c>
      <c r="L68" s="57"/>
      <c r="M68" s="5"/>
      <c r="N68" s="5"/>
      <c r="O68" s="5"/>
      <c r="P68" s="56"/>
      <c r="Q68" s="56"/>
      <c r="R68" s="64" t="s">
        <v>279</v>
      </c>
      <c r="S68" s="68" t="s">
        <v>41</v>
      </c>
      <c r="T68" s="4" t="s">
        <v>42</v>
      </c>
      <c r="U68" s="1" t="s">
        <v>43</v>
      </c>
      <c r="V68" s="1" t="s">
        <v>25</v>
      </c>
      <c r="W68" s="25">
        <v>44040</v>
      </c>
    </row>
    <row r="69" spans="1:23" ht="57" customHeight="1" x14ac:dyDescent="0.25">
      <c r="A69" s="95" t="s">
        <v>56</v>
      </c>
      <c r="B69" s="24" t="s">
        <v>21</v>
      </c>
      <c r="C69" s="25">
        <v>1235</v>
      </c>
      <c r="D69" s="43" t="s">
        <v>280</v>
      </c>
      <c r="E69" s="1" t="s">
        <v>281</v>
      </c>
      <c r="F69" s="25" t="s">
        <v>26</v>
      </c>
      <c r="G69" s="43" t="s">
        <v>29</v>
      </c>
      <c r="H69" s="47" t="s">
        <v>39</v>
      </c>
      <c r="I69" s="43" t="s">
        <v>28</v>
      </c>
      <c r="J69" s="2" t="s">
        <v>38</v>
      </c>
      <c r="K69" s="47" t="s">
        <v>39</v>
      </c>
      <c r="L69" s="57"/>
      <c r="M69" s="5"/>
      <c r="N69" s="5"/>
      <c r="O69" s="5"/>
      <c r="P69" s="56"/>
      <c r="Q69" s="56"/>
      <c r="R69" s="64" t="s">
        <v>279</v>
      </c>
      <c r="S69" s="68" t="s">
        <v>41</v>
      </c>
      <c r="T69" s="4" t="s">
        <v>42</v>
      </c>
      <c r="U69" s="1" t="s">
        <v>43</v>
      </c>
      <c r="V69" s="1" t="s">
        <v>25</v>
      </c>
      <c r="W69" s="25">
        <v>44040</v>
      </c>
    </row>
    <row r="70" spans="1:23" ht="100.5" customHeight="1" thickBot="1" x14ac:dyDescent="0.3">
      <c r="A70" s="96" t="s">
        <v>56</v>
      </c>
      <c r="B70" s="26" t="s">
        <v>21</v>
      </c>
      <c r="C70" s="32">
        <v>1235</v>
      </c>
      <c r="D70" s="44" t="s">
        <v>282</v>
      </c>
      <c r="E70" s="27" t="s">
        <v>283</v>
      </c>
      <c r="F70" s="32" t="s">
        <v>284</v>
      </c>
      <c r="G70" s="44" t="s">
        <v>29</v>
      </c>
      <c r="H70" s="48" t="s">
        <v>39</v>
      </c>
      <c r="I70" s="44" t="s">
        <v>30</v>
      </c>
      <c r="J70" s="28" t="s">
        <v>38</v>
      </c>
      <c r="K70" s="48" t="s">
        <v>39</v>
      </c>
      <c r="L70" s="58"/>
      <c r="M70" s="29"/>
      <c r="N70" s="29"/>
      <c r="O70" s="29"/>
      <c r="P70" s="59"/>
      <c r="Q70" s="59"/>
      <c r="R70" s="65" t="s">
        <v>285</v>
      </c>
      <c r="S70" s="69" t="s">
        <v>41</v>
      </c>
      <c r="T70" s="31" t="s">
        <v>42</v>
      </c>
      <c r="U70" s="27" t="s">
        <v>43</v>
      </c>
      <c r="V70" s="27" t="s">
        <v>25</v>
      </c>
      <c r="W70" s="32">
        <v>44040</v>
      </c>
    </row>
    <row r="71" spans="1:23" ht="71.25" customHeight="1" x14ac:dyDescent="0.25">
      <c r="A71" s="94" t="s">
        <v>56</v>
      </c>
      <c r="B71" s="18" t="s">
        <v>205</v>
      </c>
      <c r="C71" s="23">
        <v>2154</v>
      </c>
      <c r="D71" s="42" t="s">
        <v>304</v>
      </c>
      <c r="E71" s="19" t="s">
        <v>305</v>
      </c>
      <c r="F71" s="23" t="s">
        <v>26</v>
      </c>
      <c r="G71" s="100" t="s">
        <v>383</v>
      </c>
      <c r="H71" s="46" t="s">
        <v>119</v>
      </c>
      <c r="I71" s="42" t="s">
        <v>28</v>
      </c>
      <c r="J71" s="20" t="s">
        <v>38</v>
      </c>
      <c r="K71" s="46" t="s">
        <v>39</v>
      </c>
      <c r="L71" s="53"/>
      <c r="M71" s="21"/>
      <c r="N71" s="21"/>
      <c r="O71" s="21"/>
      <c r="P71" s="54"/>
      <c r="Q71" s="54">
        <v>0.1</v>
      </c>
      <c r="R71" s="63" t="s">
        <v>306</v>
      </c>
      <c r="S71" s="67" t="s">
        <v>41</v>
      </c>
      <c r="T71" s="22" t="s">
        <v>42</v>
      </c>
      <c r="U71" s="19" t="s">
        <v>43</v>
      </c>
      <c r="V71" s="19" t="s">
        <v>25</v>
      </c>
      <c r="W71" s="23" t="s">
        <v>307</v>
      </c>
    </row>
    <row r="72" spans="1:23" ht="71.25" customHeight="1" x14ac:dyDescent="0.25">
      <c r="A72" s="95" t="s">
        <v>56</v>
      </c>
      <c r="B72" s="24" t="s">
        <v>205</v>
      </c>
      <c r="C72" s="25">
        <v>2154</v>
      </c>
      <c r="D72" s="43" t="s">
        <v>308</v>
      </c>
      <c r="E72" s="1" t="s">
        <v>309</v>
      </c>
      <c r="F72" s="25" t="s">
        <v>31</v>
      </c>
      <c r="G72" s="99" t="s">
        <v>383</v>
      </c>
      <c r="H72" s="47" t="s">
        <v>119</v>
      </c>
      <c r="I72" s="43" t="s">
        <v>24</v>
      </c>
      <c r="J72" s="2" t="s">
        <v>11</v>
      </c>
      <c r="K72" s="47" t="s">
        <v>120</v>
      </c>
      <c r="L72" s="57"/>
      <c r="M72" s="3">
        <v>0.17924562520161655</v>
      </c>
      <c r="N72" s="3">
        <v>0</v>
      </c>
      <c r="O72" s="3">
        <v>0.17924562520161655</v>
      </c>
      <c r="P72" s="56">
        <v>0.17924562520161655</v>
      </c>
      <c r="Q72" s="56">
        <v>0.17924562520161655</v>
      </c>
      <c r="R72" s="64" t="s">
        <v>310</v>
      </c>
      <c r="S72" s="68" t="s">
        <v>41</v>
      </c>
      <c r="T72" s="4" t="s">
        <v>42</v>
      </c>
      <c r="U72" s="1" t="s">
        <v>43</v>
      </c>
      <c r="V72" s="1" t="s">
        <v>24</v>
      </c>
      <c r="W72" s="25"/>
    </row>
    <row r="73" spans="1:23" ht="57" customHeight="1" x14ac:dyDescent="0.25">
      <c r="A73" s="95" t="s">
        <v>56</v>
      </c>
      <c r="B73" s="24" t="s">
        <v>205</v>
      </c>
      <c r="C73" s="25">
        <v>2154</v>
      </c>
      <c r="D73" s="43" t="s">
        <v>311</v>
      </c>
      <c r="E73" s="1" t="s">
        <v>312</v>
      </c>
      <c r="F73" s="25" t="s">
        <v>22</v>
      </c>
      <c r="G73" s="99" t="s">
        <v>383</v>
      </c>
      <c r="H73" s="47" t="s">
        <v>119</v>
      </c>
      <c r="I73" s="43" t="s">
        <v>24</v>
      </c>
      <c r="J73" s="2" t="s">
        <v>11</v>
      </c>
      <c r="K73" s="47" t="s">
        <v>120</v>
      </c>
      <c r="L73" s="57"/>
      <c r="M73" s="3">
        <v>0.15</v>
      </c>
      <c r="N73" s="3">
        <v>0</v>
      </c>
      <c r="O73" s="3">
        <v>0.15</v>
      </c>
      <c r="P73" s="56">
        <v>0.15</v>
      </c>
      <c r="Q73" s="56">
        <v>0.15</v>
      </c>
      <c r="R73" s="64" t="s">
        <v>313</v>
      </c>
      <c r="S73" s="68" t="s">
        <v>41</v>
      </c>
      <c r="T73" s="4" t="s">
        <v>42</v>
      </c>
      <c r="U73" s="1" t="s">
        <v>43</v>
      </c>
      <c r="V73" s="1" t="s">
        <v>24</v>
      </c>
      <c r="W73" s="25"/>
    </row>
    <row r="74" spans="1:23" ht="114" customHeight="1" x14ac:dyDescent="0.25">
      <c r="A74" s="95" t="s">
        <v>56</v>
      </c>
      <c r="B74" s="24" t="s">
        <v>205</v>
      </c>
      <c r="C74" s="25">
        <v>2154</v>
      </c>
      <c r="D74" s="43" t="s">
        <v>314</v>
      </c>
      <c r="E74" s="1" t="s">
        <v>315</v>
      </c>
      <c r="F74" s="25" t="s">
        <v>22</v>
      </c>
      <c r="G74" s="43" t="s">
        <v>35</v>
      </c>
      <c r="H74" s="47" t="s">
        <v>36</v>
      </c>
      <c r="I74" s="43" t="s">
        <v>24</v>
      </c>
      <c r="J74" s="2" t="s">
        <v>11</v>
      </c>
      <c r="K74" s="47" t="s">
        <v>120</v>
      </c>
      <c r="L74" s="57"/>
      <c r="M74" s="3">
        <v>-0.21362289726454953</v>
      </c>
      <c r="N74" s="3">
        <v>-0.21362289726454953</v>
      </c>
      <c r="O74" s="3">
        <v>0</v>
      </c>
      <c r="P74" s="56">
        <v>-0.21362289726454953</v>
      </c>
      <c r="Q74" s="56">
        <v>-0.21362289726454953</v>
      </c>
      <c r="R74" s="64" t="s">
        <v>316</v>
      </c>
      <c r="S74" s="68" t="s">
        <v>41</v>
      </c>
      <c r="T74" s="4" t="s">
        <v>42</v>
      </c>
      <c r="U74" s="1" t="s">
        <v>43</v>
      </c>
      <c r="V74" s="1" t="s">
        <v>24</v>
      </c>
      <c r="W74" s="25"/>
    </row>
    <row r="75" spans="1:23" ht="114" customHeight="1" x14ac:dyDescent="0.25">
      <c r="A75" s="95" t="s">
        <v>56</v>
      </c>
      <c r="B75" s="24" t="s">
        <v>205</v>
      </c>
      <c r="C75" s="25">
        <v>2154</v>
      </c>
      <c r="D75" s="43" t="s">
        <v>314</v>
      </c>
      <c r="E75" s="1" t="s">
        <v>315</v>
      </c>
      <c r="F75" s="25" t="s">
        <v>22</v>
      </c>
      <c r="G75" s="43" t="s">
        <v>35</v>
      </c>
      <c r="H75" s="47" t="s">
        <v>36</v>
      </c>
      <c r="I75" s="43" t="s">
        <v>24</v>
      </c>
      <c r="J75" s="2" t="s">
        <v>11</v>
      </c>
      <c r="K75" s="47" t="s">
        <v>120</v>
      </c>
      <c r="L75" s="57"/>
      <c r="M75" s="3">
        <v>-0.21362289726454953</v>
      </c>
      <c r="N75" s="5">
        <v>-0.21362289726454953</v>
      </c>
      <c r="O75" s="5">
        <v>-0.21362289726454953</v>
      </c>
      <c r="P75" s="56">
        <v>-0.21362289726454953</v>
      </c>
      <c r="Q75" s="56">
        <v>-0.21362289726454953</v>
      </c>
      <c r="R75" s="64" t="s">
        <v>317</v>
      </c>
      <c r="S75" s="68" t="s">
        <v>41</v>
      </c>
      <c r="T75" s="4" t="s">
        <v>42</v>
      </c>
      <c r="U75" s="1" t="s">
        <v>43</v>
      </c>
      <c r="V75" s="1" t="s">
        <v>117</v>
      </c>
      <c r="W75" s="25"/>
    </row>
    <row r="76" spans="1:23" ht="57.75" customHeight="1" thickBot="1" x14ac:dyDescent="0.3">
      <c r="A76" s="96" t="s">
        <v>56</v>
      </c>
      <c r="B76" s="26" t="s">
        <v>205</v>
      </c>
      <c r="C76" s="32">
        <v>2154</v>
      </c>
      <c r="D76" s="44" t="s">
        <v>318</v>
      </c>
      <c r="E76" s="27" t="s">
        <v>319</v>
      </c>
      <c r="F76" s="32" t="s">
        <v>22</v>
      </c>
      <c r="G76" s="97" t="s">
        <v>383</v>
      </c>
      <c r="H76" s="48" t="s">
        <v>119</v>
      </c>
      <c r="I76" s="97" t="s">
        <v>24</v>
      </c>
      <c r="J76" s="28" t="s">
        <v>11</v>
      </c>
      <c r="K76" s="48" t="s">
        <v>120</v>
      </c>
      <c r="L76" s="58"/>
      <c r="M76" s="30" t="s">
        <v>321</v>
      </c>
      <c r="N76" s="30">
        <v>9.9999999999999995E-7</v>
      </c>
      <c r="O76" s="30">
        <v>1E-8</v>
      </c>
      <c r="P76" s="59">
        <v>0</v>
      </c>
      <c r="Q76" s="59">
        <v>0</v>
      </c>
      <c r="R76" s="65" t="s">
        <v>320</v>
      </c>
      <c r="S76" s="69" t="s">
        <v>41</v>
      </c>
      <c r="T76" s="31" t="s">
        <v>42</v>
      </c>
      <c r="U76" s="27" t="s">
        <v>43</v>
      </c>
      <c r="V76" s="27" t="s">
        <v>24</v>
      </c>
      <c r="W76" s="32"/>
    </row>
    <row r="77" spans="1:23" ht="57" customHeight="1" x14ac:dyDescent="0.25">
      <c r="A77" s="94" t="s">
        <v>56</v>
      </c>
      <c r="B77" s="18" t="s">
        <v>204</v>
      </c>
      <c r="C77" s="23">
        <v>2154</v>
      </c>
      <c r="D77" s="42" t="s">
        <v>322</v>
      </c>
      <c r="E77" s="19" t="s">
        <v>323</v>
      </c>
      <c r="F77" s="23" t="s">
        <v>22</v>
      </c>
      <c r="G77" s="100" t="s">
        <v>383</v>
      </c>
      <c r="H77" s="46" t="s">
        <v>119</v>
      </c>
      <c r="I77" s="42" t="s">
        <v>24</v>
      </c>
      <c r="J77" s="20" t="s">
        <v>11</v>
      </c>
      <c r="K77" s="46" t="s">
        <v>120</v>
      </c>
      <c r="L77" s="53"/>
      <c r="M77" s="98">
        <v>0.30008336995766827</v>
      </c>
      <c r="N77" s="21">
        <v>0.30008336995766827</v>
      </c>
      <c r="O77" s="21">
        <v>0.30008336995766827</v>
      </c>
      <c r="P77" s="54">
        <v>0.30008336995766827</v>
      </c>
      <c r="Q77" s="54">
        <v>0.2</v>
      </c>
      <c r="R77" s="63" t="s">
        <v>324</v>
      </c>
      <c r="S77" s="67" t="s">
        <v>41</v>
      </c>
      <c r="T77" s="22" t="s">
        <v>42</v>
      </c>
      <c r="U77" s="19" t="s">
        <v>43</v>
      </c>
      <c r="V77" s="19" t="s">
        <v>117</v>
      </c>
      <c r="W77" s="23"/>
    </row>
    <row r="78" spans="1:23" ht="71.25" customHeight="1" x14ac:dyDescent="0.25">
      <c r="A78" s="95" t="s">
        <v>56</v>
      </c>
      <c r="B78" s="24" t="s">
        <v>204</v>
      </c>
      <c r="C78" s="25">
        <v>2154</v>
      </c>
      <c r="D78" s="43" t="s">
        <v>308</v>
      </c>
      <c r="E78" s="1" t="s">
        <v>325</v>
      </c>
      <c r="F78" s="25" t="s">
        <v>31</v>
      </c>
      <c r="G78" s="99" t="s">
        <v>383</v>
      </c>
      <c r="H78" s="47" t="s">
        <v>119</v>
      </c>
      <c r="I78" s="43" t="s">
        <v>24</v>
      </c>
      <c r="J78" s="2" t="s">
        <v>11</v>
      </c>
      <c r="K78" s="47" t="s">
        <v>120</v>
      </c>
      <c r="L78" s="57"/>
      <c r="M78" s="3">
        <v>0.80446240288711868</v>
      </c>
      <c r="N78" s="3">
        <v>0</v>
      </c>
      <c r="O78" s="3">
        <v>0.80446240288711868</v>
      </c>
      <c r="P78" s="56">
        <v>0.80446240288711868</v>
      </c>
      <c r="Q78" s="56"/>
      <c r="R78" s="64" t="s">
        <v>310</v>
      </c>
      <c r="S78" s="68" t="s">
        <v>41</v>
      </c>
      <c r="T78" s="4" t="s">
        <v>42</v>
      </c>
      <c r="U78" s="1" t="s">
        <v>43</v>
      </c>
      <c r="V78" s="1" t="s">
        <v>24</v>
      </c>
      <c r="W78" s="25"/>
    </row>
    <row r="79" spans="1:23" ht="71.25" customHeight="1" x14ac:dyDescent="0.25">
      <c r="A79" s="95" t="s">
        <v>56</v>
      </c>
      <c r="B79" s="24" t="s">
        <v>204</v>
      </c>
      <c r="C79" s="25">
        <v>2154</v>
      </c>
      <c r="D79" s="43" t="s">
        <v>308</v>
      </c>
      <c r="E79" s="1" t="s">
        <v>326</v>
      </c>
      <c r="F79" s="25" t="s">
        <v>26</v>
      </c>
      <c r="G79" s="99" t="s">
        <v>383</v>
      </c>
      <c r="H79" s="47" t="s">
        <v>119</v>
      </c>
      <c r="I79" s="99" t="s">
        <v>37</v>
      </c>
      <c r="J79" s="2" t="s">
        <v>38</v>
      </c>
      <c r="K79" s="47" t="s">
        <v>39</v>
      </c>
      <c r="L79" s="57"/>
      <c r="M79" s="5"/>
      <c r="N79" s="5"/>
      <c r="O79" s="5"/>
      <c r="P79" s="56">
        <v>0.41500119060560792</v>
      </c>
      <c r="Q79" s="56">
        <v>0.1</v>
      </c>
      <c r="R79" s="64" t="s">
        <v>310</v>
      </c>
      <c r="S79" s="68" t="s">
        <v>41</v>
      </c>
      <c r="T79" s="4" t="s">
        <v>42</v>
      </c>
      <c r="U79" s="1" t="s">
        <v>43</v>
      </c>
      <c r="V79" s="1" t="s">
        <v>24</v>
      </c>
      <c r="W79" s="25"/>
    </row>
    <row r="80" spans="1:23" ht="100.5" customHeight="1" thickBot="1" x14ac:dyDescent="0.3">
      <c r="A80" s="96" t="s">
        <v>56</v>
      </c>
      <c r="B80" s="26" t="s">
        <v>204</v>
      </c>
      <c r="C80" s="32">
        <v>2154</v>
      </c>
      <c r="D80" s="44" t="s">
        <v>314</v>
      </c>
      <c r="E80" s="27" t="s">
        <v>327</v>
      </c>
      <c r="F80" s="32" t="s">
        <v>22</v>
      </c>
      <c r="G80" s="44" t="s">
        <v>35</v>
      </c>
      <c r="H80" s="48" t="s">
        <v>36</v>
      </c>
      <c r="I80" s="44" t="s">
        <v>24</v>
      </c>
      <c r="J80" s="28" t="s">
        <v>11</v>
      </c>
      <c r="K80" s="48" t="s">
        <v>120</v>
      </c>
      <c r="L80" s="58"/>
      <c r="M80" s="30">
        <v>0.46179000417473465</v>
      </c>
      <c r="N80" s="30">
        <v>0.46179000417473465</v>
      </c>
      <c r="O80" s="30">
        <v>0</v>
      </c>
      <c r="P80" s="59">
        <v>0.46179000417473465</v>
      </c>
      <c r="Q80" s="59">
        <v>0.46179000417473465</v>
      </c>
      <c r="R80" s="65" t="s">
        <v>328</v>
      </c>
      <c r="S80" s="69" t="s">
        <v>41</v>
      </c>
      <c r="T80" s="31" t="s">
        <v>42</v>
      </c>
      <c r="U80" s="27" t="s">
        <v>43</v>
      </c>
      <c r="V80" s="27" t="s">
        <v>24</v>
      </c>
      <c r="W80" s="32"/>
    </row>
    <row r="81" spans="1:23" ht="171" customHeight="1" x14ac:dyDescent="0.25">
      <c r="A81" s="94" t="s">
        <v>56</v>
      </c>
      <c r="B81" s="18" t="s">
        <v>329</v>
      </c>
      <c r="C81" s="23">
        <v>2154</v>
      </c>
      <c r="D81" s="42" t="s">
        <v>308</v>
      </c>
      <c r="E81" s="19" t="s">
        <v>330</v>
      </c>
      <c r="F81" s="23" t="s">
        <v>26</v>
      </c>
      <c r="G81" s="100" t="s">
        <v>383</v>
      </c>
      <c r="H81" s="46" t="s">
        <v>119</v>
      </c>
      <c r="I81" s="99" t="s">
        <v>37</v>
      </c>
      <c r="J81" s="20" t="s">
        <v>38</v>
      </c>
      <c r="K81" s="46" t="s">
        <v>39</v>
      </c>
      <c r="L81" s="53"/>
      <c r="M81" s="21"/>
      <c r="N81" s="21"/>
      <c r="O81" s="21"/>
      <c r="P81" s="54">
        <v>0.7</v>
      </c>
      <c r="Q81" s="54">
        <v>0.7</v>
      </c>
      <c r="R81" s="63" t="s">
        <v>331</v>
      </c>
      <c r="S81" s="67" t="s">
        <v>41</v>
      </c>
      <c r="T81" s="22" t="s">
        <v>42</v>
      </c>
      <c r="U81" s="19" t="s">
        <v>43</v>
      </c>
      <c r="V81" s="19" t="s">
        <v>24</v>
      </c>
      <c r="W81" s="23"/>
    </row>
    <row r="82" spans="1:23" ht="57" customHeight="1" x14ac:dyDescent="0.25">
      <c r="A82" s="95" t="s">
        <v>56</v>
      </c>
      <c r="B82" s="24" t="s">
        <v>329</v>
      </c>
      <c r="C82" s="25">
        <v>2154</v>
      </c>
      <c r="D82" s="43" t="s">
        <v>322</v>
      </c>
      <c r="E82" s="1" t="s">
        <v>332</v>
      </c>
      <c r="F82" s="25" t="s">
        <v>22</v>
      </c>
      <c r="G82" s="99" t="s">
        <v>383</v>
      </c>
      <c r="H82" s="47" t="s">
        <v>119</v>
      </c>
      <c r="I82" s="43" t="s">
        <v>24</v>
      </c>
      <c r="J82" s="2" t="s">
        <v>11</v>
      </c>
      <c r="K82" s="47" t="s">
        <v>120</v>
      </c>
      <c r="L82" s="57"/>
      <c r="M82" s="3">
        <v>0.32023289665211058</v>
      </c>
      <c r="N82" s="5">
        <v>0.32023289665211058</v>
      </c>
      <c r="O82" s="5">
        <v>0.32023289665211058</v>
      </c>
      <c r="P82" s="56">
        <v>0.32023289665211058</v>
      </c>
      <c r="Q82" s="56">
        <v>0.32023289665211058</v>
      </c>
      <c r="R82" s="64" t="s">
        <v>324</v>
      </c>
      <c r="S82" s="68" t="s">
        <v>41</v>
      </c>
      <c r="T82" s="4" t="s">
        <v>42</v>
      </c>
      <c r="U82" s="1" t="s">
        <v>43</v>
      </c>
      <c r="V82" s="1" t="s">
        <v>117</v>
      </c>
      <c r="W82" s="25"/>
    </row>
    <row r="83" spans="1:23" ht="99.75" customHeight="1" x14ac:dyDescent="0.25">
      <c r="A83" s="95" t="s">
        <v>56</v>
      </c>
      <c r="B83" s="24" t="s">
        <v>329</v>
      </c>
      <c r="C83" s="25">
        <v>2154</v>
      </c>
      <c r="D83" s="43" t="s">
        <v>314</v>
      </c>
      <c r="E83" s="1" t="s">
        <v>333</v>
      </c>
      <c r="F83" s="25" t="s">
        <v>22</v>
      </c>
      <c r="G83" s="43" t="s">
        <v>35</v>
      </c>
      <c r="H83" s="47" t="s">
        <v>36</v>
      </c>
      <c r="I83" s="43" t="s">
        <v>24</v>
      </c>
      <c r="J83" s="2" t="s">
        <v>11</v>
      </c>
      <c r="K83" s="47" t="s">
        <v>120</v>
      </c>
      <c r="L83" s="57"/>
      <c r="M83" s="3">
        <v>-1.0720852069540543</v>
      </c>
      <c r="N83" s="3">
        <v>-1.0720852069540543</v>
      </c>
      <c r="O83" s="3">
        <v>0</v>
      </c>
      <c r="P83" s="56">
        <v>-1.0720852069540543</v>
      </c>
      <c r="Q83" s="56">
        <v>-1.0720852069540543</v>
      </c>
      <c r="R83" s="64" t="s">
        <v>328</v>
      </c>
      <c r="S83" s="68" t="s">
        <v>41</v>
      </c>
      <c r="T83" s="4" t="s">
        <v>42</v>
      </c>
      <c r="U83" s="1" t="s">
        <v>43</v>
      </c>
      <c r="V83" s="1" t="s">
        <v>24</v>
      </c>
      <c r="W83" s="25"/>
    </row>
    <row r="84" spans="1:23" ht="57" customHeight="1" x14ac:dyDescent="0.25">
      <c r="A84" s="95" t="s">
        <v>56</v>
      </c>
      <c r="B84" s="24" t="s">
        <v>329</v>
      </c>
      <c r="C84" s="25">
        <v>2154</v>
      </c>
      <c r="D84" s="43" t="s">
        <v>334</v>
      </c>
      <c r="E84" s="1" t="s">
        <v>335</v>
      </c>
      <c r="F84" s="25" t="s">
        <v>46</v>
      </c>
      <c r="G84" s="43" t="s">
        <v>29</v>
      </c>
      <c r="H84" s="47" t="s">
        <v>39</v>
      </c>
      <c r="I84" s="43" t="s">
        <v>28</v>
      </c>
      <c r="J84" s="2" t="s">
        <v>38</v>
      </c>
      <c r="K84" s="47" t="s">
        <v>39</v>
      </c>
      <c r="L84" s="57"/>
      <c r="M84" s="5"/>
      <c r="N84" s="5"/>
      <c r="O84" s="5"/>
      <c r="P84" s="56"/>
      <c r="Q84" s="56"/>
      <c r="R84" s="64" t="s">
        <v>336</v>
      </c>
      <c r="S84" s="68" t="s">
        <v>157</v>
      </c>
      <c r="T84" s="4" t="s">
        <v>158</v>
      </c>
      <c r="U84" s="1" t="s">
        <v>43</v>
      </c>
      <c r="V84" s="1" t="s">
        <v>28</v>
      </c>
      <c r="W84" s="25"/>
    </row>
    <row r="85" spans="1:23" ht="57" customHeight="1" x14ac:dyDescent="0.25">
      <c r="A85" s="95" t="s">
        <v>56</v>
      </c>
      <c r="B85" s="24" t="s">
        <v>329</v>
      </c>
      <c r="C85" s="25">
        <v>2154</v>
      </c>
      <c r="D85" s="43" t="s">
        <v>334</v>
      </c>
      <c r="E85" s="1" t="s">
        <v>337</v>
      </c>
      <c r="F85" s="25" t="s">
        <v>46</v>
      </c>
      <c r="G85" s="43" t="s">
        <v>27</v>
      </c>
      <c r="H85" s="47" t="s">
        <v>39</v>
      </c>
      <c r="I85" s="43" t="s">
        <v>28</v>
      </c>
      <c r="J85" s="2" t="s">
        <v>38</v>
      </c>
      <c r="K85" s="47" t="s">
        <v>39</v>
      </c>
      <c r="L85" s="57"/>
      <c r="M85" s="5"/>
      <c r="N85" s="5"/>
      <c r="O85" s="5"/>
      <c r="P85" s="56"/>
      <c r="Q85" s="56"/>
      <c r="R85" s="64" t="s">
        <v>338</v>
      </c>
      <c r="S85" s="68" t="s">
        <v>157</v>
      </c>
      <c r="T85" s="4" t="s">
        <v>158</v>
      </c>
      <c r="U85" s="1" t="s">
        <v>43</v>
      </c>
      <c r="V85" s="1" t="s">
        <v>28</v>
      </c>
      <c r="W85" s="25"/>
    </row>
    <row r="86" spans="1:23" ht="57.75" customHeight="1" thickBot="1" x14ac:dyDescent="0.3">
      <c r="A86" s="96" t="s">
        <v>56</v>
      </c>
      <c r="B86" s="26" t="s">
        <v>329</v>
      </c>
      <c r="C86" s="32">
        <v>2154</v>
      </c>
      <c r="D86" s="44" t="s">
        <v>318</v>
      </c>
      <c r="E86" s="27" t="s">
        <v>339</v>
      </c>
      <c r="F86" s="32" t="s">
        <v>22</v>
      </c>
      <c r="G86" s="97" t="s">
        <v>383</v>
      </c>
      <c r="H86" s="48" t="s">
        <v>119</v>
      </c>
      <c r="I86" s="97" t="s">
        <v>24</v>
      </c>
      <c r="J86" s="28" t="s">
        <v>38</v>
      </c>
      <c r="K86" s="48" t="s">
        <v>120</v>
      </c>
      <c r="L86" s="58"/>
      <c r="M86" s="29"/>
      <c r="N86" s="29"/>
      <c r="O86" s="29"/>
      <c r="P86" s="59"/>
      <c r="Q86" s="59"/>
      <c r="R86" s="65" t="s">
        <v>340</v>
      </c>
      <c r="S86" s="69" t="s">
        <v>41</v>
      </c>
      <c r="T86" s="31" t="s">
        <v>42</v>
      </c>
      <c r="U86" s="27" t="s">
        <v>43</v>
      </c>
      <c r="V86" s="27" t="s">
        <v>30</v>
      </c>
      <c r="W86" s="32"/>
    </row>
    <row r="87" spans="1:23" ht="85.5" customHeight="1" x14ac:dyDescent="0.25">
      <c r="A87" s="95" t="s">
        <v>56</v>
      </c>
      <c r="B87" s="18" t="s">
        <v>212</v>
      </c>
      <c r="C87" s="23">
        <v>2154</v>
      </c>
      <c r="D87" s="42" t="s">
        <v>341</v>
      </c>
      <c r="E87" s="19" t="s">
        <v>370</v>
      </c>
      <c r="F87" s="23" t="s">
        <v>31</v>
      </c>
      <c r="G87" s="42" t="s">
        <v>35</v>
      </c>
      <c r="H87" s="105" t="s">
        <v>36</v>
      </c>
      <c r="I87" s="42" t="s">
        <v>24</v>
      </c>
      <c r="J87" s="20" t="s">
        <v>11</v>
      </c>
      <c r="K87" s="46" t="s">
        <v>120</v>
      </c>
      <c r="L87" s="53"/>
      <c r="M87" s="98">
        <v>1.0388176714039128</v>
      </c>
      <c r="N87" s="98">
        <v>1.0388176714039128</v>
      </c>
      <c r="O87" s="98">
        <v>0</v>
      </c>
      <c r="P87" s="54">
        <v>1.0388176714039128</v>
      </c>
      <c r="Q87" s="54">
        <v>1.0388176714039128</v>
      </c>
      <c r="R87" s="63" t="s">
        <v>342</v>
      </c>
      <c r="S87" s="67" t="s">
        <v>41</v>
      </c>
      <c r="T87" s="22" t="s">
        <v>42</v>
      </c>
      <c r="U87" s="19" t="s">
        <v>43</v>
      </c>
      <c r="V87" s="19" t="s">
        <v>24</v>
      </c>
      <c r="W87" s="23"/>
    </row>
    <row r="88" spans="1:23" ht="85.5" customHeight="1" x14ac:dyDescent="0.25">
      <c r="A88" s="95" t="s">
        <v>56</v>
      </c>
      <c r="B88" s="24" t="s">
        <v>212</v>
      </c>
      <c r="C88" s="25">
        <v>2154</v>
      </c>
      <c r="D88" s="43" t="s">
        <v>343</v>
      </c>
      <c r="E88" s="1" t="s">
        <v>344</v>
      </c>
      <c r="F88" s="25" t="s">
        <v>31</v>
      </c>
      <c r="G88" s="43" t="s">
        <v>35</v>
      </c>
      <c r="H88" s="101" t="s">
        <v>36</v>
      </c>
      <c r="I88" s="43" t="s">
        <v>24</v>
      </c>
      <c r="J88" s="2" t="s">
        <v>11</v>
      </c>
      <c r="K88" s="47" t="s">
        <v>120</v>
      </c>
      <c r="L88" s="57"/>
      <c r="M88" s="3">
        <v>0.2601365340866873</v>
      </c>
      <c r="N88" s="3">
        <v>0</v>
      </c>
      <c r="O88" s="3">
        <v>0.2601365340866873</v>
      </c>
      <c r="P88" s="56">
        <v>0.2601365340866873</v>
      </c>
      <c r="Q88" s="56">
        <v>0.2601365340866873</v>
      </c>
      <c r="R88" s="64" t="s">
        <v>342</v>
      </c>
      <c r="S88" s="68" t="s">
        <v>41</v>
      </c>
      <c r="T88" s="4" t="s">
        <v>42</v>
      </c>
      <c r="U88" s="1" t="s">
        <v>43</v>
      </c>
      <c r="V88" s="1" t="s">
        <v>24</v>
      </c>
      <c r="W88" s="25"/>
    </row>
    <row r="89" spans="1:23" ht="57" customHeight="1" x14ac:dyDescent="0.25">
      <c r="A89" s="95" t="s">
        <v>56</v>
      </c>
      <c r="B89" s="24" t="s">
        <v>212</v>
      </c>
      <c r="C89" s="25">
        <v>2154</v>
      </c>
      <c r="D89" s="43" t="s">
        <v>345</v>
      </c>
      <c r="E89" s="1" t="s">
        <v>346</v>
      </c>
      <c r="F89" s="25" t="s">
        <v>186</v>
      </c>
      <c r="G89" s="43" t="s">
        <v>29</v>
      </c>
      <c r="H89" s="101" t="s">
        <v>39</v>
      </c>
      <c r="I89" s="43" t="s">
        <v>28</v>
      </c>
      <c r="J89" s="2" t="s">
        <v>38</v>
      </c>
      <c r="K89" s="47" t="s">
        <v>39</v>
      </c>
      <c r="L89" s="57"/>
      <c r="M89" s="5"/>
      <c r="N89" s="5"/>
      <c r="O89" s="5"/>
      <c r="P89" s="56"/>
      <c r="Q89" s="56"/>
      <c r="R89" s="64" t="s">
        <v>347</v>
      </c>
      <c r="S89" s="68" t="s">
        <v>157</v>
      </c>
      <c r="T89" s="4" t="s">
        <v>158</v>
      </c>
      <c r="U89" s="1" t="s">
        <v>43</v>
      </c>
      <c r="V89" s="1" t="s">
        <v>28</v>
      </c>
      <c r="W89" s="25"/>
    </row>
    <row r="90" spans="1:23" ht="57" customHeight="1" x14ac:dyDescent="0.25">
      <c r="A90" s="95" t="s">
        <v>56</v>
      </c>
      <c r="B90" s="24" t="s">
        <v>212</v>
      </c>
      <c r="C90" s="25">
        <v>2154</v>
      </c>
      <c r="D90" s="43" t="s">
        <v>348</v>
      </c>
      <c r="E90" s="90" t="s">
        <v>349</v>
      </c>
      <c r="F90" s="25" t="s">
        <v>46</v>
      </c>
      <c r="G90" s="43" t="s">
        <v>155</v>
      </c>
      <c r="H90" s="101" t="s">
        <v>39</v>
      </c>
      <c r="I90" s="142"/>
      <c r="J90" s="2"/>
      <c r="K90" s="47"/>
      <c r="L90" s="57"/>
      <c r="M90" s="5"/>
      <c r="N90" s="5"/>
      <c r="O90" s="5"/>
      <c r="P90" s="56"/>
      <c r="Q90" s="56"/>
      <c r="R90" s="64" t="s">
        <v>350</v>
      </c>
      <c r="S90" s="68" t="s">
        <v>157</v>
      </c>
      <c r="T90" s="4" t="s">
        <v>158</v>
      </c>
      <c r="U90" s="1" t="s">
        <v>43</v>
      </c>
      <c r="V90" s="1" t="s">
        <v>28</v>
      </c>
      <c r="W90" s="25"/>
    </row>
    <row r="91" spans="1:23" ht="156.75" customHeight="1" x14ac:dyDescent="0.25">
      <c r="A91" s="95" t="s">
        <v>56</v>
      </c>
      <c r="B91" s="24" t="s">
        <v>212</v>
      </c>
      <c r="C91" s="25">
        <v>2154</v>
      </c>
      <c r="D91" s="43" t="s">
        <v>351</v>
      </c>
      <c r="E91" s="1" t="s">
        <v>352</v>
      </c>
      <c r="F91" s="25" t="s">
        <v>26</v>
      </c>
      <c r="G91" s="43" t="s">
        <v>161</v>
      </c>
      <c r="H91" s="101" t="s">
        <v>39</v>
      </c>
      <c r="I91" s="43" t="s">
        <v>37</v>
      </c>
      <c r="J91" s="2" t="s">
        <v>38</v>
      </c>
      <c r="K91" s="47" t="s">
        <v>39</v>
      </c>
      <c r="L91" s="57"/>
      <c r="M91" s="5"/>
      <c r="N91" s="5"/>
      <c r="O91" s="5"/>
      <c r="P91" s="56"/>
      <c r="Q91" s="56"/>
      <c r="R91" s="64" t="s">
        <v>353</v>
      </c>
      <c r="S91" s="68" t="s">
        <v>41</v>
      </c>
      <c r="T91" s="4" t="s">
        <v>42</v>
      </c>
      <c r="U91" s="1" t="s">
        <v>43</v>
      </c>
      <c r="V91" s="1" t="s">
        <v>37</v>
      </c>
      <c r="W91" s="25"/>
    </row>
    <row r="92" spans="1:23" ht="128.25" customHeight="1" x14ac:dyDescent="0.25">
      <c r="A92" s="95" t="s">
        <v>56</v>
      </c>
      <c r="B92" s="24" t="s">
        <v>212</v>
      </c>
      <c r="C92" s="25">
        <v>2154</v>
      </c>
      <c r="D92" s="43" t="s">
        <v>351</v>
      </c>
      <c r="E92" s="1" t="s">
        <v>354</v>
      </c>
      <c r="F92" s="25" t="s">
        <v>26</v>
      </c>
      <c r="G92" s="43" t="s">
        <v>155</v>
      </c>
      <c r="H92" s="101" t="s">
        <v>39</v>
      </c>
      <c r="I92" s="43" t="s">
        <v>37</v>
      </c>
      <c r="J92" s="2" t="s">
        <v>38</v>
      </c>
      <c r="K92" s="47" t="s">
        <v>39</v>
      </c>
      <c r="L92" s="57"/>
      <c r="M92" s="5"/>
      <c r="N92" s="5"/>
      <c r="O92" s="5"/>
      <c r="P92" s="56"/>
      <c r="Q92" s="56"/>
      <c r="R92" s="64" t="s">
        <v>353</v>
      </c>
      <c r="S92" s="68" t="s">
        <v>41</v>
      </c>
      <c r="T92" s="4" t="s">
        <v>42</v>
      </c>
      <c r="U92" s="1" t="s">
        <v>43</v>
      </c>
      <c r="V92" s="1" t="s">
        <v>37</v>
      </c>
      <c r="W92" s="25"/>
    </row>
    <row r="93" spans="1:23" ht="142.5" customHeight="1" x14ac:dyDescent="0.25">
      <c r="A93" s="95" t="s">
        <v>56</v>
      </c>
      <c r="B93" s="24" t="s">
        <v>212</v>
      </c>
      <c r="C93" s="25">
        <v>2154</v>
      </c>
      <c r="D93" s="43" t="s">
        <v>351</v>
      </c>
      <c r="E93" s="1" t="s">
        <v>355</v>
      </c>
      <c r="F93" s="25" t="s">
        <v>26</v>
      </c>
      <c r="G93" s="43" t="s">
        <v>155</v>
      </c>
      <c r="H93" s="101" t="s">
        <v>39</v>
      </c>
      <c r="I93" s="43" t="s">
        <v>37</v>
      </c>
      <c r="J93" s="2" t="s">
        <v>38</v>
      </c>
      <c r="K93" s="47" t="s">
        <v>39</v>
      </c>
      <c r="L93" s="57"/>
      <c r="M93" s="5"/>
      <c r="N93" s="5"/>
      <c r="O93" s="5"/>
      <c r="P93" s="56"/>
      <c r="Q93" s="56"/>
      <c r="R93" s="64" t="s">
        <v>353</v>
      </c>
      <c r="S93" s="68" t="s">
        <v>41</v>
      </c>
      <c r="T93" s="4" t="s">
        <v>42</v>
      </c>
      <c r="U93" s="1" t="s">
        <v>43</v>
      </c>
      <c r="V93" s="1" t="s">
        <v>37</v>
      </c>
      <c r="W93" s="25"/>
    </row>
    <row r="94" spans="1:23" ht="142.5" customHeight="1" x14ac:dyDescent="0.25">
      <c r="A94" s="95" t="s">
        <v>56</v>
      </c>
      <c r="B94" s="24" t="s">
        <v>212</v>
      </c>
      <c r="C94" s="25">
        <v>2154</v>
      </c>
      <c r="D94" s="43" t="s">
        <v>351</v>
      </c>
      <c r="E94" s="1" t="s">
        <v>355</v>
      </c>
      <c r="F94" s="25" t="s">
        <v>26</v>
      </c>
      <c r="G94" s="43" t="s">
        <v>356</v>
      </c>
      <c r="H94" s="101" t="s">
        <v>39</v>
      </c>
      <c r="I94" s="43" t="s">
        <v>37</v>
      </c>
      <c r="J94" s="2" t="s">
        <v>38</v>
      </c>
      <c r="K94" s="47" t="s">
        <v>39</v>
      </c>
      <c r="L94" s="57"/>
      <c r="M94" s="5"/>
      <c r="N94" s="5"/>
      <c r="O94" s="5"/>
      <c r="P94" s="56"/>
      <c r="Q94" s="56"/>
      <c r="R94" s="64" t="s">
        <v>353</v>
      </c>
      <c r="S94" s="68" t="s">
        <v>41</v>
      </c>
      <c r="T94" s="4" t="s">
        <v>42</v>
      </c>
      <c r="U94" s="1" t="s">
        <v>43</v>
      </c>
      <c r="V94" s="1" t="s">
        <v>37</v>
      </c>
      <c r="W94" s="25"/>
    </row>
    <row r="95" spans="1:23" ht="142.5" customHeight="1" x14ac:dyDescent="0.25">
      <c r="A95" s="95" t="s">
        <v>56</v>
      </c>
      <c r="B95" s="24" t="s">
        <v>212</v>
      </c>
      <c r="C95" s="25">
        <v>2154</v>
      </c>
      <c r="D95" s="43" t="s">
        <v>351</v>
      </c>
      <c r="E95" s="1" t="s">
        <v>355</v>
      </c>
      <c r="F95" s="25" t="s">
        <v>26</v>
      </c>
      <c r="G95" s="43" t="s">
        <v>161</v>
      </c>
      <c r="H95" s="101" t="s">
        <v>39</v>
      </c>
      <c r="I95" s="43" t="s">
        <v>37</v>
      </c>
      <c r="J95" s="2" t="s">
        <v>38</v>
      </c>
      <c r="K95" s="47" t="s">
        <v>39</v>
      </c>
      <c r="L95" s="57"/>
      <c r="M95" s="5"/>
      <c r="N95" s="5"/>
      <c r="O95" s="5"/>
      <c r="P95" s="56"/>
      <c r="Q95" s="56"/>
      <c r="R95" s="64" t="s">
        <v>353</v>
      </c>
      <c r="S95" s="68" t="s">
        <v>41</v>
      </c>
      <c r="T95" s="4" t="s">
        <v>42</v>
      </c>
      <c r="U95" s="1" t="s">
        <v>43</v>
      </c>
      <c r="V95" s="1" t="s">
        <v>37</v>
      </c>
      <c r="W95" s="25"/>
    </row>
    <row r="96" spans="1:23" ht="142.5" customHeight="1" x14ac:dyDescent="0.25">
      <c r="A96" s="95" t="s">
        <v>56</v>
      </c>
      <c r="B96" s="24" t="s">
        <v>212</v>
      </c>
      <c r="C96" s="25">
        <v>2154</v>
      </c>
      <c r="D96" s="43" t="s">
        <v>351</v>
      </c>
      <c r="E96" s="1" t="s">
        <v>355</v>
      </c>
      <c r="F96" s="25" t="s">
        <v>26</v>
      </c>
      <c r="G96" s="43" t="s">
        <v>29</v>
      </c>
      <c r="H96" s="101" t="s">
        <v>39</v>
      </c>
      <c r="I96" s="43" t="s">
        <v>37</v>
      </c>
      <c r="J96" s="2" t="s">
        <v>38</v>
      </c>
      <c r="K96" s="47" t="s">
        <v>39</v>
      </c>
      <c r="L96" s="57"/>
      <c r="M96" s="5"/>
      <c r="N96" s="5"/>
      <c r="O96" s="5"/>
      <c r="P96" s="56"/>
      <c r="Q96" s="56"/>
      <c r="R96" s="64" t="s">
        <v>353</v>
      </c>
      <c r="S96" s="68" t="s">
        <v>41</v>
      </c>
      <c r="T96" s="4" t="s">
        <v>42</v>
      </c>
      <c r="U96" s="1" t="s">
        <v>43</v>
      </c>
      <c r="V96" s="1" t="s">
        <v>37</v>
      </c>
      <c r="W96" s="25"/>
    </row>
    <row r="97" spans="1:23" ht="57" customHeight="1" x14ac:dyDescent="0.25">
      <c r="A97" s="95" t="s">
        <v>56</v>
      </c>
      <c r="B97" s="24" t="s">
        <v>212</v>
      </c>
      <c r="C97" s="25">
        <v>2154</v>
      </c>
      <c r="D97" s="43" t="s">
        <v>351</v>
      </c>
      <c r="E97" s="1" t="s">
        <v>357</v>
      </c>
      <c r="F97" s="25" t="s">
        <v>26</v>
      </c>
      <c r="G97" s="43" t="s">
        <v>155</v>
      </c>
      <c r="H97" s="101" t="s">
        <v>39</v>
      </c>
      <c r="I97" s="43" t="s">
        <v>37</v>
      </c>
      <c r="J97" s="2" t="s">
        <v>38</v>
      </c>
      <c r="K97" s="47" t="s">
        <v>39</v>
      </c>
      <c r="L97" s="57"/>
      <c r="M97" s="5"/>
      <c r="N97" s="5"/>
      <c r="O97" s="5"/>
      <c r="P97" s="56"/>
      <c r="Q97" s="56"/>
      <c r="R97" s="64" t="s">
        <v>358</v>
      </c>
      <c r="S97" s="68" t="s">
        <v>41</v>
      </c>
      <c r="T97" s="4" t="s">
        <v>42</v>
      </c>
      <c r="U97" s="1" t="s">
        <v>43</v>
      </c>
      <c r="V97" s="1" t="s">
        <v>37</v>
      </c>
      <c r="W97" s="25"/>
    </row>
    <row r="98" spans="1:23" ht="57" customHeight="1" x14ac:dyDescent="0.25">
      <c r="A98" s="95" t="s">
        <v>56</v>
      </c>
      <c r="B98" s="24" t="s">
        <v>212</v>
      </c>
      <c r="C98" s="25">
        <v>2154</v>
      </c>
      <c r="D98" s="43" t="s">
        <v>359</v>
      </c>
      <c r="E98" s="1" t="s">
        <v>360</v>
      </c>
      <c r="F98" s="25" t="s">
        <v>46</v>
      </c>
      <c r="G98" s="43" t="s">
        <v>29</v>
      </c>
      <c r="H98" s="101" t="s">
        <v>39</v>
      </c>
      <c r="I98" s="43" t="s">
        <v>28</v>
      </c>
      <c r="J98" s="2" t="s">
        <v>38</v>
      </c>
      <c r="K98" s="47" t="s">
        <v>39</v>
      </c>
      <c r="L98" s="57"/>
      <c r="M98" s="5"/>
      <c r="N98" s="5"/>
      <c r="O98" s="5"/>
      <c r="P98" s="56"/>
      <c r="Q98" s="56"/>
      <c r="R98" s="64" t="s">
        <v>361</v>
      </c>
      <c r="S98" s="68" t="s">
        <v>157</v>
      </c>
      <c r="T98" s="4" t="s">
        <v>158</v>
      </c>
      <c r="U98" s="1" t="s">
        <v>43</v>
      </c>
      <c r="V98" s="1" t="s">
        <v>28</v>
      </c>
      <c r="W98" s="25"/>
    </row>
    <row r="99" spans="1:23" ht="57" customHeight="1" x14ac:dyDescent="0.25">
      <c r="A99" s="95" t="s">
        <v>56</v>
      </c>
      <c r="B99" s="24" t="s">
        <v>212</v>
      </c>
      <c r="C99" s="25">
        <v>2154</v>
      </c>
      <c r="D99" s="43" t="s">
        <v>362</v>
      </c>
      <c r="E99" s="1" t="s">
        <v>363</v>
      </c>
      <c r="F99" s="25" t="s">
        <v>22</v>
      </c>
      <c r="G99" s="43" t="s">
        <v>155</v>
      </c>
      <c r="H99" s="101" t="s">
        <v>39</v>
      </c>
      <c r="I99" s="43" t="s">
        <v>28</v>
      </c>
      <c r="J99" s="2" t="s">
        <v>38</v>
      </c>
      <c r="K99" s="47" t="s">
        <v>39</v>
      </c>
      <c r="L99" s="57"/>
      <c r="M99" s="5"/>
      <c r="N99" s="5"/>
      <c r="O99" s="5"/>
      <c r="P99" s="56"/>
      <c r="Q99" s="56"/>
      <c r="R99" s="64" t="s">
        <v>364</v>
      </c>
      <c r="S99" s="68" t="s">
        <v>157</v>
      </c>
      <c r="T99" s="4" t="s">
        <v>158</v>
      </c>
      <c r="U99" s="1" t="s">
        <v>43</v>
      </c>
      <c r="V99" s="1" t="s">
        <v>28</v>
      </c>
      <c r="W99" s="25"/>
    </row>
    <row r="100" spans="1:23" ht="57" customHeight="1" x14ac:dyDescent="0.25">
      <c r="A100" s="95" t="s">
        <v>56</v>
      </c>
      <c r="B100" s="24" t="s">
        <v>212</v>
      </c>
      <c r="C100" s="25">
        <v>2154</v>
      </c>
      <c r="D100" s="43" t="s">
        <v>362</v>
      </c>
      <c r="E100" s="1" t="s">
        <v>363</v>
      </c>
      <c r="F100" s="25" t="s">
        <v>22</v>
      </c>
      <c r="G100" s="43" t="s">
        <v>27</v>
      </c>
      <c r="H100" s="101" t="s">
        <v>39</v>
      </c>
      <c r="I100" s="43" t="s">
        <v>28</v>
      </c>
      <c r="J100" s="2" t="s">
        <v>38</v>
      </c>
      <c r="K100" s="47" t="s">
        <v>39</v>
      </c>
      <c r="L100" s="57"/>
      <c r="M100" s="5"/>
      <c r="N100" s="5"/>
      <c r="O100" s="5"/>
      <c r="P100" s="56"/>
      <c r="Q100" s="56"/>
      <c r="R100" s="64" t="s">
        <v>364</v>
      </c>
      <c r="S100" s="68" t="s">
        <v>157</v>
      </c>
      <c r="T100" s="4" t="s">
        <v>158</v>
      </c>
      <c r="U100" s="1" t="s">
        <v>43</v>
      </c>
      <c r="V100" s="1" t="s">
        <v>28</v>
      </c>
      <c r="W100" s="25"/>
    </row>
    <row r="101" spans="1:23" ht="57" customHeight="1" x14ac:dyDescent="0.25">
      <c r="A101" s="95" t="s">
        <v>56</v>
      </c>
      <c r="B101" s="24" t="s">
        <v>212</v>
      </c>
      <c r="C101" s="25">
        <v>2154</v>
      </c>
      <c r="D101" s="43" t="s">
        <v>362</v>
      </c>
      <c r="E101" s="1" t="s">
        <v>363</v>
      </c>
      <c r="F101" s="25" t="s">
        <v>22</v>
      </c>
      <c r="G101" s="43" t="s">
        <v>29</v>
      </c>
      <c r="H101" s="101" t="s">
        <v>39</v>
      </c>
      <c r="I101" s="43" t="s">
        <v>28</v>
      </c>
      <c r="J101" s="2" t="s">
        <v>38</v>
      </c>
      <c r="K101" s="47" t="s">
        <v>39</v>
      </c>
      <c r="L101" s="57"/>
      <c r="M101" s="5"/>
      <c r="N101" s="5"/>
      <c r="O101" s="5"/>
      <c r="P101" s="56"/>
      <c r="Q101" s="56"/>
      <c r="R101" s="64" t="s">
        <v>364</v>
      </c>
      <c r="S101" s="68" t="s">
        <v>157</v>
      </c>
      <c r="T101" s="4" t="s">
        <v>158</v>
      </c>
      <c r="U101" s="1" t="s">
        <v>43</v>
      </c>
      <c r="V101" s="1" t="s">
        <v>28</v>
      </c>
      <c r="W101" s="25"/>
    </row>
    <row r="102" spans="1:23" ht="57" customHeight="1" x14ac:dyDescent="0.25">
      <c r="A102" s="95" t="s">
        <v>56</v>
      </c>
      <c r="B102" s="24" t="s">
        <v>212</v>
      </c>
      <c r="C102" s="25">
        <v>2154</v>
      </c>
      <c r="D102" s="43" t="s">
        <v>362</v>
      </c>
      <c r="E102" s="1" t="s">
        <v>365</v>
      </c>
      <c r="F102" s="25" t="s">
        <v>26</v>
      </c>
      <c r="G102" s="43" t="s">
        <v>155</v>
      </c>
      <c r="H102" s="101" t="s">
        <v>39</v>
      </c>
      <c r="I102" s="43" t="s">
        <v>37</v>
      </c>
      <c r="J102" s="2" t="s">
        <v>38</v>
      </c>
      <c r="K102" s="47" t="s">
        <v>39</v>
      </c>
      <c r="L102" s="57"/>
      <c r="M102" s="5"/>
      <c r="N102" s="5"/>
      <c r="O102" s="5"/>
      <c r="P102" s="56"/>
      <c r="Q102" s="56"/>
      <c r="R102" s="64" t="s">
        <v>353</v>
      </c>
      <c r="S102" s="68" t="s">
        <v>41</v>
      </c>
      <c r="T102" s="4" t="s">
        <v>42</v>
      </c>
      <c r="U102" s="1" t="s">
        <v>43</v>
      </c>
      <c r="V102" s="1" t="s">
        <v>37</v>
      </c>
      <c r="W102" s="25"/>
    </row>
    <row r="103" spans="1:23" ht="57" customHeight="1" x14ac:dyDescent="0.25">
      <c r="A103" s="95" t="s">
        <v>56</v>
      </c>
      <c r="B103" s="24" t="s">
        <v>212</v>
      </c>
      <c r="C103" s="25">
        <v>2154</v>
      </c>
      <c r="D103" s="43" t="s">
        <v>362</v>
      </c>
      <c r="E103" s="1" t="s">
        <v>365</v>
      </c>
      <c r="F103" s="25" t="s">
        <v>26</v>
      </c>
      <c r="G103" s="43" t="s">
        <v>161</v>
      </c>
      <c r="H103" s="101" t="s">
        <v>39</v>
      </c>
      <c r="I103" s="43" t="s">
        <v>37</v>
      </c>
      <c r="J103" s="2" t="s">
        <v>38</v>
      </c>
      <c r="K103" s="47" t="s">
        <v>39</v>
      </c>
      <c r="L103" s="57"/>
      <c r="M103" s="5"/>
      <c r="N103" s="5"/>
      <c r="O103" s="5"/>
      <c r="P103" s="56"/>
      <c r="Q103" s="56"/>
      <c r="R103" s="64" t="s">
        <v>353</v>
      </c>
      <c r="S103" s="68" t="s">
        <v>41</v>
      </c>
      <c r="T103" s="4" t="s">
        <v>42</v>
      </c>
      <c r="U103" s="1" t="s">
        <v>43</v>
      </c>
      <c r="V103" s="1" t="s">
        <v>37</v>
      </c>
      <c r="W103" s="25"/>
    </row>
    <row r="104" spans="1:23" ht="57" customHeight="1" x14ac:dyDescent="0.25">
      <c r="A104" s="95" t="s">
        <v>56</v>
      </c>
      <c r="B104" s="24" t="s">
        <v>212</v>
      </c>
      <c r="C104" s="25">
        <v>2154</v>
      </c>
      <c r="D104" s="43" t="s">
        <v>362</v>
      </c>
      <c r="E104" s="1" t="s">
        <v>365</v>
      </c>
      <c r="F104" s="25" t="s">
        <v>26</v>
      </c>
      <c r="G104" s="43" t="s">
        <v>29</v>
      </c>
      <c r="H104" s="101" t="s">
        <v>39</v>
      </c>
      <c r="I104" s="43" t="s">
        <v>37</v>
      </c>
      <c r="J104" s="2" t="s">
        <v>38</v>
      </c>
      <c r="K104" s="47" t="s">
        <v>39</v>
      </c>
      <c r="L104" s="57"/>
      <c r="M104" s="5"/>
      <c r="N104" s="5"/>
      <c r="O104" s="5"/>
      <c r="P104" s="56"/>
      <c r="Q104" s="56"/>
      <c r="R104" s="64" t="s">
        <v>353</v>
      </c>
      <c r="S104" s="68" t="s">
        <v>41</v>
      </c>
      <c r="T104" s="4" t="s">
        <v>42</v>
      </c>
      <c r="U104" s="1" t="s">
        <v>43</v>
      </c>
      <c r="V104" s="1" t="s">
        <v>37</v>
      </c>
      <c r="W104" s="25"/>
    </row>
    <row r="105" spans="1:23" ht="57" customHeight="1" x14ac:dyDescent="0.25">
      <c r="A105" s="95" t="s">
        <v>56</v>
      </c>
      <c r="B105" s="24" t="s">
        <v>212</v>
      </c>
      <c r="C105" s="25">
        <v>2154</v>
      </c>
      <c r="D105" s="43" t="s">
        <v>362</v>
      </c>
      <c r="E105" s="1" t="s">
        <v>366</v>
      </c>
      <c r="F105" s="25" t="s">
        <v>26</v>
      </c>
      <c r="G105" s="43" t="s">
        <v>155</v>
      </c>
      <c r="H105" s="101" t="s">
        <v>39</v>
      </c>
      <c r="I105" s="43" t="s">
        <v>28</v>
      </c>
      <c r="J105" s="2" t="s">
        <v>38</v>
      </c>
      <c r="K105" s="47" t="s">
        <v>39</v>
      </c>
      <c r="L105" s="57"/>
      <c r="M105" s="5"/>
      <c r="N105" s="5"/>
      <c r="O105" s="5"/>
      <c r="P105" s="56"/>
      <c r="Q105" s="56"/>
      <c r="R105" s="64" t="s">
        <v>367</v>
      </c>
      <c r="S105" s="68" t="s">
        <v>157</v>
      </c>
      <c r="T105" s="4" t="s">
        <v>158</v>
      </c>
      <c r="U105" s="1" t="s">
        <v>43</v>
      </c>
      <c r="V105" s="1" t="s">
        <v>28</v>
      </c>
      <c r="W105" s="25"/>
    </row>
    <row r="106" spans="1:23" ht="57" customHeight="1" x14ac:dyDescent="0.25">
      <c r="A106" s="95" t="s">
        <v>56</v>
      </c>
      <c r="B106" s="24" t="s">
        <v>212</v>
      </c>
      <c r="C106" s="25">
        <v>2154</v>
      </c>
      <c r="D106" s="43" t="s">
        <v>362</v>
      </c>
      <c r="E106" s="1" t="s">
        <v>366</v>
      </c>
      <c r="F106" s="25" t="s">
        <v>26</v>
      </c>
      <c r="G106" s="43" t="s">
        <v>27</v>
      </c>
      <c r="H106" s="101" t="s">
        <v>39</v>
      </c>
      <c r="I106" s="43" t="s">
        <v>28</v>
      </c>
      <c r="J106" s="2" t="s">
        <v>38</v>
      </c>
      <c r="K106" s="47" t="s">
        <v>39</v>
      </c>
      <c r="L106" s="57"/>
      <c r="M106" s="5"/>
      <c r="N106" s="5"/>
      <c r="O106" s="5"/>
      <c r="P106" s="56"/>
      <c r="Q106" s="56"/>
      <c r="R106" s="64" t="s">
        <v>367</v>
      </c>
      <c r="S106" s="68" t="s">
        <v>157</v>
      </c>
      <c r="T106" s="4" t="s">
        <v>158</v>
      </c>
      <c r="U106" s="1" t="s">
        <v>43</v>
      </c>
      <c r="V106" s="1" t="s">
        <v>28</v>
      </c>
      <c r="W106" s="25"/>
    </row>
    <row r="107" spans="1:23" ht="57" customHeight="1" x14ac:dyDescent="0.25">
      <c r="A107" s="95" t="s">
        <v>56</v>
      </c>
      <c r="B107" s="24" t="s">
        <v>212</v>
      </c>
      <c r="C107" s="25">
        <v>2155</v>
      </c>
      <c r="D107" s="43" t="s">
        <v>362</v>
      </c>
      <c r="E107" s="1" t="s">
        <v>366</v>
      </c>
      <c r="F107" s="25" t="s">
        <v>26</v>
      </c>
      <c r="G107" s="43" t="s">
        <v>29</v>
      </c>
      <c r="H107" s="101" t="s">
        <v>39</v>
      </c>
      <c r="I107" s="43" t="s">
        <v>28</v>
      </c>
      <c r="J107" s="2" t="s">
        <v>38</v>
      </c>
      <c r="K107" s="47" t="s">
        <v>39</v>
      </c>
      <c r="L107" s="57"/>
      <c r="M107" s="5"/>
      <c r="N107" s="5"/>
      <c r="O107" s="5"/>
      <c r="P107" s="56"/>
      <c r="Q107" s="56"/>
      <c r="R107" s="64" t="s">
        <v>367</v>
      </c>
      <c r="S107" s="68" t="s">
        <v>157</v>
      </c>
      <c r="T107" s="4" t="s">
        <v>158</v>
      </c>
      <c r="U107" s="1" t="s">
        <v>43</v>
      </c>
      <c r="V107" s="1" t="s">
        <v>28</v>
      </c>
      <c r="W107" s="25"/>
    </row>
    <row r="108" spans="1:23" ht="86.25" customHeight="1" thickBot="1" x14ac:dyDescent="0.3">
      <c r="A108" s="96" t="s">
        <v>56</v>
      </c>
      <c r="B108" s="26" t="s">
        <v>212</v>
      </c>
      <c r="C108" s="32">
        <v>2154</v>
      </c>
      <c r="D108" s="44" t="s">
        <v>351</v>
      </c>
      <c r="E108" s="27" t="s">
        <v>357</v>
      </c>
      <c r="F108" s="32" t="s">
        <v>26</v>
      </c>
      <c r="G108" s="44" t="s">
        <v>155</v>
      </c>
      <c r="H108" s="106" t="s">
        <v>39</v>
      </c>
      <c r="I108" s="44" t="s">
        <v>37</v>
      </c>
      <c r="J108" s="28" t="s">
        <v>38</v>
      </c>
      <c r="K108" s="48" t="s">
        <v>39</v>
      </c>
      <c r="L108" s="58"/>
      <c r="M108" s="29"/>
      <c r="N108" s="29"/>
      <c r="O108" s="29"/>
      <c r="P108" s="59"/>
      <c r="Q108" s="59"/>
      <c r="R108" s="65" t="s">
        <v>368</v>
      </c>
      <c r="S108" s="69" t="s">
        <v>41</v>
      </c>
      <c r="T108" s="31" t="s">
        <v>42</v>
      </c>
      <c r="U108" s="27" t="s">
        <v>43</v>
      </c>
      <c r="V108" s="27" t="s">
        <v>25</v>
      </c>
      <c r="W108" s="32" t="s">
        <v>369</v>
      </c>
    </row>
    <row r="109" spans="1:23" ht="99.75" customHeight="1" x14ac:dyDescent="0.25">
      <c r="A109" s="94" t="s">
        <v>56</v>
      </c>
      <c r="B109" s="18" t="s">
        <v>112</v>
      </c>
      <c r="C109" s="23">
        <v>2322</v>
      </c>
      <c r="D109" s="42" t="s">
        <v>73</v>
      </c>
      <c r="E109" s="19" t="s">
        <v>371</v>
      </c>
      <c r="F109" s="23" t="s">
        <v>186</v>
      </c>
      <c r="G109" s="42" t="s">
        <v>372</v>
      </c>
      <c r="H109" s="46" t="s">
        <v>36</v>
      </c>
      <c r="I109" s="42" t="s">
        <v>24</v>
      </c>
      <c r="J109" s="20" t="s">
        <v>11</v>
      </c>
      <c r="K109" s="46" t="s">
        <v>120</v>
      </c>
      <c r="L109" s="53"/>
      <c r="M109" s="98">
        <v>-1.099</v>
      </c>
      <c r="N109" s="98">
        <v>-1.099</v>
      </c>
      <c r="O109" s="98">
        <v>0</v>
      </c>
      <c r="P109" s="54">
        <v>-1.099</v>
      </c>
      <c r="Q109" s="54">
        <v>-1.099</v>
      </c>
      <c r="R109" s="63" t="s">
        <v>373</v>
      </c>
      <c r="S109" s="67" t="s">
        <v>41</v>
      </c>
      <c r="T109" s="22" t="s">
        <v>42</v>
      </c>
      <c r="U109" s="19" t="s">
        <v>43</v>
      </c>
      <c r="V109" s="19" t="s">
        <v>374</v>
      </c>
      <c r="W109" s="23" t="s">
        <v>375</v>
      </c>
    </row>
    <row r="110" spans="1:23" ht="142.5" customHeight="1" x14ac:dyDescent="0.25">
      <c r="A110" s="95" t="s">
        <v>56</v>
      </c>
      <c r="B110" s="24" t="s">
        <v>112</v>
      </c>
      <c r="C110" s="25">
        <v>2322</v>
      </c>
      <c r="D110" s="43" t="s">
        <v>376</v>
      </c>
      <c r="E110" s="1" t="s">
        <v>377</v>
      </c>
      <c r="F110" s="25" t="s">
        <v>26</v>
      </c>
      <c r="G110" s="43" t="s">
        <v>27</v>
      </c>
      <c r="H110" s="47" t="s">
        <v>39</v>
      </c>
      <c r="I110" s="43" t="s">
        <v>28</v>
      </c>
      <c r="J110" s="2" t="s">
        <v>38</v>
      </c>
      <c r="K110" s="47" t="s">
        <v>39</v>
      </c>
      <c r="L110" s="57"/>
      <c r="M110" s="5"/>
      <c r="N110" s="5"/>
      <c r="O110" s="5"/>
      <c r="P110" s="56"/>
      <c r="Q110" s="56"/>
      <c r="R110" s="64" t="s">
        <v>378</v>
      </c>
      <c r="S110" s="68" t="s">
        <v>41</v>
      </c>
      <c r="T110" s="4" t="s">
        <v>42</v>
      </c>
      <c r="U110" s="1" t="s">
        <v>43</v>
      </c>
      <c r="V110" s="1" t="s">
        <v>379</v>
      </c>
      <c r="W110" s="25" t="s">
        <v>380</v>
      </c>
    </row>
    <row r="111" spans="1:23" ht="129" customHeight="1" thickBot="1" x14ac:dyDescent="0.3">
      <c r="A111" s="96" t="s">
        <v>56</v>
      </c>
      <c r="B111" s="26" t="s">
        <v>112</v>
      </c>
      <c r="C111" s="32">
        <v>2322</v>
      </c>
      <c r="D111" s="44" t="s">
        <v>381</v>
      </c>
      <c r="E111" s="27" t="s">
        <v>382</v>
      </c>
      <c r="F111" s="32" t="s">
        <v>26</v>
      </c>
      <c r="G111" s="44" t="s">
        <v>383</v>
      </c>
      <c r="H111" s="48" t="s">
        <v>119</v>
      </c>
      <c r="I111" s="44" t="s">
        <v>37</v>
      </c>
      <c r="J111" s="28" t="s">
        <v>38</v>
      </c>
      <c r="K111" s="48" t="s">
        <v>39</v>
      </c>
      <c r="L111" s="58"/>
      <c r="M111" s="29"/>
      <c r="N111" s="29"/>
      <c r="O111" s="29"/>
      <c r="P111" s="59"/>
      <c r="Q111" s="59">
        <v>0.1</v>
      </c>
      <c r="R111" s="65" t="s">
        <v>384</v>
      </c>
      <c r="S111" s="69" t="s">
        <v>41</v>
      </c>
      <c r="T111" s="31" t="s">
        <v>42</v>
      </c>
      <c r="U111" s="27" t="s">
        <v>43</v>
      </c>
      <c r="V111" s="27">
        <v>864000</v>
      </c>
      <c r="W111" s="32" t="s">
        <v>385</v>
      </c>
    </row>
    <row r="112" spans="1:23" ht="85.5" customHeight="1" x14ac:dyDescent="0.25">
      <c r="A112" s="94" t="s">
        <v>56</v>
      </c>
      <c r="B112" s="18" t="s">
        <v>88</v>
      </c>
      <c r="C112" s="23">
        <v>2180</v>
      </c>
      <c r="D112" s="42" t="s">
        <v>386</v>
      </c>
      <c r="E112" s="19" t="s">
        <v>387</v>
      </c>
      <c r="F112" s="23" t="s">
        <v>26</v>
      </c>
      <c r="G112" s="42" t="s">
        <v>27</v>
      </c>
      <c r="H112" s="46" t="s">
        <v>39</v>
      </c>
      <c r="I112" s="42" t="s">
        <v>37</v>
      </c>
      <c r="J112" s="20" t="s">
        <v>38</v>
      </c>
      <c r="K112" s="46" t="s">
        <v>39</v>
      </c>
      <c r="L112" s="53"/>
      <c r="M112" s="21"/>
      <c r="N112" s="21"/>
      <c r="O112" s="21"/>
      <c r="P112" s="54"/>
      <c r="Q112" s="54"/>
      <c r="R112" s="63"/>
      <c r="S112" s="67" t="s">
        <v>41</v>
      </c>
      <c r="T112" s="22" t="s">
        <v>42</v>
      </c>
      <c r="U112" s="19" t="s">
        <v>43</v>
      </c>
      <c r="V112" s="19" t="s">
        <v>37</v>
      </c>
      <c r="W112" s="23"/>
    </row>
    <row r="113" spans="1:23" ht="57" customHeight="1" x14ac:dyDescent="0.25">
      <c r="A113" s="95" t="s">
        <v>56</v>
      </c>
      <c r="B113" s="24" t="s">
        <v>88</v>
      </c>
      <c r="C113" s="25">
        <v>2180</v>
      </c>
      <c r="D113" s="43" t="s">
        <v>388</v>
      </c>
      <c r="E113" s="1" t="s">
        <v>389</v>
      </c>
      <c r="F113" s="25" t="s">
        <v>26</v>
      </c>
      <c r="G113" s="43" t="s">
        <v>27</v>
      </c>
      <c r="H113" s="47" t="s">
        <v>39</v>
      </c>
      <c r="I113" s="43" t="s">
        <v>37</v>
      </c>
      <c r="J113" s="2" t="s">
        <v>38</v>
      </c>
      <c r="K113" s="47" t="s">
        <v>39</v>
      </c>
      <c r="L113" s="57"/>
      <c r="M113" s="5"/>
      <c r="N113" s="5"/>
      <c r="O113" s="5"/>
      <c r="P113" s="56"/>
      <c r="Q113" s="56"/>
      <c r="R113" s="64"/>
      <c r="S113" s="68" t="s">
        <v>41</v>
      </c>
      <c r="T113" s="4" t="s">
        <v>42</v>
      </c>
      <c r="U113" s="1" t="s">
        <v>43</v>
      </c>
      <c r="V113" s="1" t="s">
        <v>37</v>
      </c>
      <c r="W113" s="25"/>
    </row>
    <row r="114" spans="1:23" ht="57" customHeight="1" x14ac:dyDescent="0.25">
      <c r="A114" s="95" t="s">
        <v>56</v>
      </c>
      <c r="B114" s="24" t="s">
        <v>88</v>
      </c>
      <c r="C114" s="25">
        <v>2180</v>
      </c>
      <c r="D114" s="43" t="s">
        <v>390</v>
      </c>
      <c r="E114" s="1" t="s">
        <v>391</v>
      </c>
      <c r="F114" s="25" t="s">
        <v>26</v>
      </c>
      <c r="G114" s="43" t="s">
        <v>27</v>
      </c>
      <c r="H114" s="47" t="s">
        <v>39</v>
      </c>
      <c r="I114" s="43" t="s">
        <v>37</v>
      </c>
      <c r="J114" s="2" t="s">
        <v>38</v>
      </c>
      <c r="K114" s="47" t="s">
        <v>39</v>
      </c>
      <c r="L114" s="57"/>
      <c r="M114" s="5"/>
      <c r="N114" s="5"/>
      <c r="O114" s="5"/>
      <c r="P114" s="56"/>
      <c r="Q114" s="56"/>
      <c r="R114" s="64"/>
      <c r="S114" s="68" t="s">
        <v>41</v>
      </c>
      <c r="T114" s="4" t="s">
        <v>42</v>
      </c>
      <c r="U114" s="1" t="s">
        <v>43</v>
      </c>
      <c r="V114" s="1" t="s">
        <v>37</v>
      </c>
      <c r="W114" s="25"/>
    </row>
    <row r="115" spans="1:23" ht="85.5" customHeight="1" x14ac:dyDescent="0.25">
      <c r="A115" s="95" t="s">
        <v>56</v>
      </c>
      <c r="B115" s="24" t="s">
        <v>88</v>
      </c>
      <c r="C115" s="25">
        <v>2180</v>
      </c>
      <c r="D115" s="43" t="s">
        <v>392</v>
      </c>
      <c r="E115" s="1" t="s">
        <v>393</v>
      </c>
      <c r="F115" s="25" t="s">
        <v>26</v>
      </c>
      <c r="G115" s="43" t="s">
        <v>27</v>
      </c>
      <c r="H115" s="47" t="s">
        <v>39</v>
      </c>
      <c r="I115" s="43" t="s">
        <v>28</v>
      </c>
      <c r="J115" s="2" t="s">
        <v>38</v>
      </c>
      <c r="K115" s="47" t="s">
        <v>39</v>
      </c>
      <c r="L115" s="57"/>
      <c r="M115" s="5"/>
      <c r="N115" s="5"/>
      <c r="O115" s="5"/>
      <c r="P115" s="56"/>
      <c r="Q115" s="56"/>
      <c r="R115" s="64"/>
      <c r="S115" s="68" t="s">
        <v>41</v>
      </c>
      <c r="T115" s="4" t="s">
        <v>42</v>
      </c>
      <c r="U115" s="1" t="s">
        <v>43</v>
      </c>
      <c r="V115" s="1" t="s">
        <v>28</v>
      </c>
      <c r="W115" s="25"/>
    </row>
    <row r="116" spans="1:23" ht="57" customHeight="1" x14ac:dyDescent="0.25">
      <c r="A116" s="95" t="s">
        <v>56</v>
      </c>
      <c r="B116" s="24" t="s">
        <v>88</v>
      </c>
      <c r="C116" s="25">
        <v>2180</v>
      </c>
      <c r="D116" s="43" t="s">
        <v>392</v>
      </c>
      <c r="E116" s="1" t="s">
        <v>394</v>
      </c>
      <c r="F116" s="25" t="s">
        <v>26</v>
      </c>
      <c r="G116" s="43" t="s">
        <v>27</v>
      </c>
      <c r="H116" s="47" t="s">
        <v>39</v>
      </c>
      <c r="I116" s="43" t="s">
        <v>28</v>
      </c>
      <c r="J116" s="2" t="s">
        <v>38</v>
      </c>
      <c r="K116" s="47" t="s">
        <v>39</v>
      </c>
      <c r="L116" s="57"/>
      <c r="M116" s="5"/>
      <c r="N116" s="5"/>
      <c r="O116" s="5"/>
      <c r="P116" s="56"/>
      <c r="Q116" s="56"/>
      <c r="R116" s="64"/>
      <c r="S116" s="68" t="s">
        <v>41</v>
      </c>
      <c r="T116" s="4" t="s">
        <v>42</v>
      </c>
      <c r="U116" s="1" t="s">
        <v>43</v>
      </c>
      <c r="V116" s="1" t="s">
        <v>28</v>
      </c>
      <c r="W116" s="25"/>
    </row>
    <row r="117" spans="1:23" ht="57" customHeight="1" x14ac:dyDescent="0.25">
      <c r="A117" s="95" t="s">
        <v>56</v>
      </c>
      <c r="B117" s="24" t="s">
        <v>88</v>
      </c>
      <c r="C117" s="25">
        <v>2180</v>
      </c>
      <c r="D117" s="43" t="s">
        <v>395</v>
      </c>
      <c r="E117" s="1" t="s">
        <v>396</v>
      </c>
      <c r="F117" s="25" t="s">
        <v>22</v>
      </c>
      <c r="G117" s="43" t="s">
        <v>116</v>
      </c>
      <c r="H117" s="47" t="s">
        <v>119</v>
      </c>
      <c r="I117" s="43" t="s">
        <v>397</v>
      </c>
      <c r="J117" s="2" t="s">
        <v>11</v>
      </c>
      <c r="K117" s="47" t="s">
        <v>49</v>
      </c>
      <c r="L117" s="57"/>
      <c r="M117" s="3">
        <v>0.83447884070750755</v>
      </c>
      <c r="N117" s="3">
        <v>0.83447884070750755</v>
      </c>
      <c r="O117" s="3">
        <v>0.83447884070750755</v>
      </c>
      <c r="P117" s="56">
        <v>0.83447884070750755</v>
      </c>
      <c r="Q117" s="56">
        <v>0.83447884070750755</v>
      </c>
      <c r="R117" s="64" t="s">
        <v>398</v>
      </c>
      <c r="S117" s="68" t="s">
        <v>41</v>
      </c>
      <c r="T117" s="4" t="s">
        <v>42</v>
      </c>
      <c r="U117" s="1" t="s">
        <v>43</v>
      </c>
      <c r="V117" s="1" t="s">
        <v>397</v>
      </c>
      <c r="W117" s="25"/>
    </row>
    <row r="118" spans="1:23" ht="42.75" customHeight="1" x14ac:dyDescent="0.25">
      <c r="A118" s="95" t="s">
        <v>56</v>
      </c>
      <c r="B118" s="24" t="s">
        <v>88</v>
      </c>
      <c r="C118" s="25">
        <v>2180</v>
      </c>
      <c r="D118" s="43" t="s">
        <v>395</v>
      </c>
      <c r="E118" s="1" t="s">
        <v>396</v>
      </c>
      <c r="F118" s="25" t="s">
        <v>22</v>
      </c>
      <c r="G118" s="43" t="s">
        <v>116</v>
      </c>
      <c r="H118" s="47" t="s">
        <v>119</v>
      </c>
      <c r="I118" s="43" t="s">
        <v>399</v>
      </c>
      <c r="J118" s="2" t="s">
        <v>10</v>
      </c>
      <c r="K118" s="47" t="s">
        <v>49</v>
      </c>
      <c r="L118" s="55">
        <v>1.3</v>
      </c>
      <c r="M118" s="5"/>
      <c r="N118" s="5"/>
      <c r="O118" s="5"/>
      <c r="P118" s="56">
        <v>1.3</v>
      </c>
      <c r="Q118" s="56">
        <v>1.3</v>
      </c>
      <c r="R118" s="64" t="s">
        <v>400</v>
      </c>
      <c r="S118" s="68" t="s">
        <v>41</v>
      </c>
      <c r="T118" s="4" t="s">
        <v>42</v>
      </c>
      <c r="U118" s="1" t="s">
        <v>43</v>
      </c>
      <c r="V118" s="1" t="s">
        <v>399</v>
      </c>
      <c r="W118" s="25"/>
    </row>
    <row r="119" spans="1:23" ht="42.75" customHeight="1" x14ac:dyDescent="0.25">
      <c r="A119" s="95" t="s">
        <v>56</v>
      </c>
      <c r="B119" s="24" t="s">
        <v>88</v>
      </c>
      <c r="C119" s="25">
        <v>2180</v>
      </c>
      <c r="D119" s="43" t="s">
        <v>401</v>
      </c>
      <c r="E119" s="1" t="s">
        <v>402</v>
      </c>
      <c r="F119" s="25" t="s">
        <v>22</v>
      </c>
      <c r="G119" s="43" t="s">
        <v>47</v>
      </c>
      <c r="H119" s="47" t="s">
        <v>36</v>
      </c>
      <c r="I119" s="43" t="s">
        <v>117</v>
      </c>
      <c r="J119" s="2" t="s">
        <v>10</v>
      </c>
      <c r="K119" s="47" t="s">
        <v>120</v>
      </c>
      <c r="L119" s="55">
        <v>8.0326520977945179</v>
      </c>
      <c r="M119" s="5"/>
      <c r="N119" s="5"/>
      <c r="O119" s="5"/>
      <c r="P119" s="56">
        <v>8.0326520977945179</v>
      </c>
      <c r="Q119" s="56">
        <v>8.0326520977945179</v>
      </c>
      <c r="R119" s="64" t="s">
        <v>400</v>
      </c>
      <c r="S119" s="68" t="s">
        <v>41</v>
      </c>
      <c r="T119" s="4" t="s">
        <v>42</v>
      </c>
      <c r="U119" s="1" t="s">
        <v>43</v>
      </c>
      <c r="V119" s="1" t="s">
        <v>117</v>
      </c>
      <c r="W119" s="25"/>
    </row>
    <row r="120" spans="1:23" ht="42.75" customHeight="1" x14ac:dyDescent="0.25">
      <c r="A120" s="95" t="s">
        <v>56</v>
      </c>
      <c r="B120" s="24" t="s">
        <v>88</v>
      </c>
      <c r="C120" s="25">
        <v>2180</v>
      </c>
      <c r="D120" s="43" t="s">
        <v>401</v>
      </c>
      <c r="E120" s="1" t="s">
        <v>403</v>
      </c>
      <c r="F120" s="25" t="s">
        <v>31</v>
      </c>
      <c r="G120" s="43" t="s">
        <v>47</v>
      </c>
      <c r="H120" s="47" t="s">
        <v>36</v>
      </c>
      <c r="I120" s="43" t="s">
        <v>117</v>
      </c>
      <c r="J120" s="2" t="s">
        <v>10</v>
      </c>
      <c r="K120" s="47" t="s">
        <v>120</v>
      </c>
      <c r="L120" s="55">
        <v>0.25286233629853549</v>
      </c>
      <c r="M120" s="5"/>
      <c r="N120" s="5"/>
      <c r="O120" s="5"/>
      <c r="P120" s="56">
        <v>0.25286233629853549</v>
      </c>
      <c r="Q120" s="56">
        <v>0.25286233629853549</v>
      </c>
      <c r="R120" s="64" t="s">
        <v>400</v>
      </c>
      <c r="S120" s="68" t="s">
        <v>41</v>
      </c>
      <c r="T120" s="4" t="s">
        <v>42</v>
      </c>
      <c r="U120" s="1" t="s">
        <v>43</v>
      </c>
      <c r="V120" s="1" t="s">
        <v>117</v>
      </c>
      <c r="W120" s="25"/>
    </row>
    <row r="121" spans="1:23" ht="85.5" customHeight="1" x14ac:dyDescent="0.25">
      <c r="A121" s="95" t="s">
        <v>56</v>
      </c>
      <c r="B121" s="24" t="s">
        <v>88</v>
      </c>
      <c r="C121" s="25">
        <v>2180</v>
      </c>
      <c r="D121" s="43" t="s">
        <v>404</v>
      </c>
      <c r="E121" s="1" t="s">
        <v>405</v>
      </c>
      <c r="F121" s="25" t="s">
        <v>26</v>
      </c>
      <c r="G121" s="43" t="s">
        <v>27</v>
      </c>
      <c r="H121" s="47" t="s">
        <v>39</v>
      </c>
      <c r="I121" s="43" t="s">
        <v>37</v>
      </c>
      <c r="J121" s="2" t="s">
        <v>38</v>
      </c>
      <c r="K121" s="47" t="s">
        <v>39</v>
      </c>
      <c r="L121" s="57"/>
      <c r="M121" s="5"/>
      <c r="N121" s="5"/>
      <c r="O121" s="5"/>
      <c r="P121" s="56"/>
      <c r="Q121" s="56"/>
      <c r="R121" s="64"/>
      <c r="S121" s="68" t="s">
        <v>41</v>
      </c>
      <c r="T121" s="4" t="s">
        <v>42</v>
      </c>
      <c r="U121" s="1" t="s">
        <v>43</v>
      </c>
      <c r="V121" s="1" t="s">
        <v>37</v>
      </c>
      <c r="W121" s="25"/>
    </row>
    <row r="122" spans="1:23" ht="72" customHeight="1" thickBot="1" x14ac:dyDescent="0.3">
      <c r="A122" s="96" t="s">
        <v>56</v>
      </c>
      <c r="B122" s="26" t="s">
        <v>88</v>
      </c>
      <c r="C122" s="32">
        <v>2180</v>
      </c>
      <c r="D122" s="44" t="s">
        <v>406</v>
      </c>
      <c r="E122" s="27" t="s">
        <v>407</v>
      </c>
      <c r="F122" s="32" t="s">
        <v>26</v>
      </c>
      <c r="G122" s="44" t="s">
        <v>27</v>
      </c>
      <c r="H122" s="48" t="s">
        <v>39</v>
      </c>
      <c r="I122" s="44" t="s">
        <v>37</v>
      </c>
      <c r="J122" s="28" t="s">
        <v>38</v>
      </c>
      <c r="K122" s="48" t="s">
        <v>39</v>
      </c>
      <c r="L122" s="58"/>
      <c r="M122" s="29"/>
      <c r="N122" s="29"/>
      <c r="O122" s="29"/>
      <c r="P122" s="59"/>
      <c r="Q122" s="59"/>
      <c r="R122" s="65"/>
      <c r="S122" s="69" t="s">
        <v>41</v>
      </c>
      <c r="T122" s="31" t="s">
        <v>42</v>
      </c>
      <c r="U122" s="27" t="s">
        <v>43</v>
      </c>
      <c r="V122" s="27" t="s">
        <v>37</v>
      </c>
      <c r="W122" s="32"/>
    </row>
    <row r="123" spans="1:23" ht="85.5" customHeight="1" x14ac:dyDescent="0.25">
      <c r="A123" s="94" t="s">
        <v>56</v>
      </c>
      <c r="B123" s="18" t="s">
        <v>220</v>
      </c>
      <c r="C123" s="23">
        <v>2101</v>
      </c>
      <c r="D123" s="42" t="s">
        <v>408</v>
      </c>
      <c r="E123" s="19" t="s">
        <v>409</v>
      </c>
      <c r="F123" s="23" t="s">
        <v>46</v>
      </c>
      <c r="G123" s="42" t="s">
        <v>196</v>
      </c>
      <c r="H123" s="46" t="s">
        <v>36</v>
      </c>
      <c r="I123" s="42" t="s">
        <v>48</v>
      </c>
      <c r="J123" s="20" t="s">
        <v>10</v>
      </c>
      <c r="K123" s="46" t="s">
        <v>49</v>
      </c>
      <c r="L123" s="76">
        <v>8.3843951448424292</v>
      </c>
      <c r="M123" s="21"/>
      <c r="N123" s="21"/>
      <c r="O123" s="21"/>
      <c r="P123" s="54">
        <v>8.3843951448424292</v>
      </c>
      <c r="Q123" s="54">
        <v>8.3843951448424292</v>
      </c>
      <c r="R123" s="63"/>
      <c r="S123" s="67" t="s">
        <v>410</v>
      </c>
      <c r="T123" s="20" t="s">
        <v>411</v>
      </c>
      <c r="U123" s="19"/>
      <c r="V123" s="19"/>
      <c r="W123" s="23"/>
    </row>
    <row r="124" spans="1:23" ht="85.5" customHeight="1" x14ac:dyDescent="0.25">
      <c r="A124" s="95" t="s">
        <v>56</v>
      </c>
      <c r="B124" s="24" t="s">
        <v>220</v>
      </c>
      <c r="C124" s="25">
        <v>2101</v>
      </c>
      <c r="D124" s="43" t="s">
        <v>412</v>
      </c>
      <c r="E124" s="1" t="s">
        <v>413</v>
      </c>
      <c r="F124" s="25" t="s">
        <v>46</v>
      </c>
      <c r="G124" s="43" t="s">
        <v>23</v>
      </c>
      <c r="H124" s="47" t="s">
        <v>36</v>
      </c>
      <c r="I124" s="43" t="s">
        <v>51</v>
      </c>
      <c r="J124" s="2" t="s">
        <v>11</v>
      </c>
      <c r="K124" s="47" t="s">
        <v>49</v>
      </c>
      <c r="L124" s="57"/>
      <c r="M124" s="3">
        <v>8.3068906894833496</v>
      </c>
      <c r="N124" s="3">
        <v>8.3068906894833496</v>
      </c>
      <c r="O124" s="3">
        <v>8.3068906894833496</v>
      </c>
      <c r="P124" s="56">
        <v>8.3068906894833496</v>
      </c>
      <c r="Q124" s="56">
        <v>8.3068906894833496</v>
      </c>
      <c r="R124" s="64"/>
      <c r="S124" s="68" t="s">
        <v>410</v>
      </c>
      <c r="T124" s="2" t="s">
        <v>411</v>
      </c>
      <c r="U124" s="1"/>
      <c r="V124" s="1"/>
      <c r="W124" s="25"/>
    </row>
    <row r="125" spans="1:23" ht="85.5" customHeight="1" x14ac:dyDescent="0.25">
      <c r="A125" s="95" t="s">
        <v>56</v>
      </c>
      <c r="B125" s="24" t="s">
        <v>220</v>
      </c>
      <c r="C125" s="25">
        <v>2101</v>
      </c>
      <c r="D125" s="43" t="s">
        <v>414</v>
      </c>
      <c r="E125" s="1" t="s">
        <v>415</v>
      </c>
      <c r="F125" s="25" t="s">
        <v>46</v>
      </c>
      <c r="G125" s="43" t="s">
        <v>416</v>
      </c>
      <c r="H125" s="47" t="s">
        <v>36</v>
      </c>
      <c r="I125" s="43" t="s">
        <v>51</v>
      </c>
      <c r="J125" s="2" t="s">
        <v>11</v>
      </c>
      <c r="K125" s="47" t="s">
        <v>49</v>
      </c>
      <c r="L125" s="57"/>
      <c r="M125" s="3">
        <v>22.253388281466499</v>
      </c>
      <c r="N125" s="3">
        <v>22.253388281466499</v>
      </c>
      <c r="O125" s="3">
        <v>22.253388281466499</v>
      </c>
      <c r="P125" s="56">
        <v>22.253388281466499</v>
      </c>
      <c r="Q125" s="56">
        <v>22.253388281466499</v>
      </c>
      <c r="R125" s="64"/>
      <c r="S125" s="68" t="s">
        <v>410</v>
      </c>
      <c r="T125" s="2" t="s">
        <v>411</v>
      </c>
      <c r="U125" s="1"/>
      <c r="V125" s="1"/>
      <c r="W125" s="25"/>
    </row>
    <row r="126" spans="1:23" ht="85.5" customHeight="1" x14ac:dyDescent="0.25">
      <c r="A126" s="95" t="s">
        <v>56</v>
      </c>
      <c r="B126" s="24" t="s">
        <v>220</v>
      </c>
      <c r="C126" s="25">
        <v>2101</v>
      </c>
      <c r="D126" s="43" t="s">
        <v>417</v>
      </c>
      <c r="E126" s="1" t="s">
        <v>418</v>
      </c>
      <c r="F126" s="25" t="s">
        <v>31</v>
      </c>
      <c r="G126" s="43" t="s">
        <v>35</v>
      </c>
      <c r="H126" s="47" t="s">
        <v>36</v>
      </c>
      <c r="I126" s="43" t="s">
        <v>24</v>
      </c>
      <c r="J126" s="2" t="s">
        <v>11</v>
      </c>
      <c r="K126" s="47" t="s">
        <v>120</v>
      </c>
      <c r="L126" s="57"/>
      <c r="M126" s="3">
        <v>5.81452608119658</v>
      </c>
      <c r="N126" s="3">
        <v>0</v>
      </c>
      <c r="O126" s="3">
        <v>0</v>
      </c>
      <c r="P126" s="56">
        <v>5.81452608119658</v>
      </c>
      <c r="Q126" s="56">
        <v>5.81452608119658</v>
      </c>
      <c r="R126" s="64"/>
      <c r="S126" s="68" t="s">
        <v>410</v>
      </c>
      <c r="T126" s="2" t="s">
        <v>411</v>
      </c>
      <c r="U126" s="1"/>
      <c r="V126" s="1"/>
      <c r="W126" s="25"/>
    </row>
    <row r="127" spans="1:23" ht="85.5" customHeight="1" x14ac:dyDescent="0.25">
      <c r="A127" s="95" t="s">
        <v>56</v>
      </c>
      <c r="B127" s="24" t="s">
        <v>220</v>
      </c>
      <c r="C127" s="25">
        <v>2101</v>
      </c>
      <c r="D127" s="43" t="s">
        <v>417</v>
      </c>
      <c r="E127" s="1" t="s">
        <v>419</v>
      </c>
      <c r="F127" s="25" t="s">
        <v>26</v>
      </c>
      <c r="G127" s="43" t="s">
        <v>35</v>
      </c>
      <c r="H127" s="47" t="s">
        <v>36</v>
      </c>
      <c r="I127" s="43" t="s">
        <v>37</v>
      </c>
      <c r="J127" s="2" t="s">
        <v>38</v>
      </c>
      <c r="K127" s="47" t="s">
        <v>39</v>
      </c>
      <c r="L127" s="57"/>
      <c r="M127" s="5"/>
      <c r="N127" s="5"/>
      <c r="O127" s="5"/>
      <c r="P127" s="56"/>
      <c r="Q127" s="56"/>
      <c r="R127" s="64"/>
      <c r="S127" s="68" t="s">
        <v>410</v>
      </c>
      <c r="T127" s="2" t="s">
        <v>411</v>
      </c>
      <c r="U127" s="1"/>
      <c r="V127" s="1"/>
      <c r="W127" s="25"/>
    </row>
    <row r="128" spans="1:23" ht="85.5" customHeight="1" x14ac:dyDescent="0.25">
      <c r="A128" s="95" t="s">
        <v>56</v>
      </c>
      <c r="B128" s="24" t="s">
        <v>220</v>
      </c>
      <c r="C128" s="25">
        <v>2101</v>
      </c>
      <c r="D128" s="43" t="s">
        <v>417</v>
      </c>
      <c r="E128" s="1" t="s">
        <v>420</v>
      </c>
      <c r="F128" s="25" t="s">
        <v>26</v>
      </c>
      <c r="G128" s="43" t="s">
        <v>35</v>
      </c>
      <c r="H128" s="47" t="s">
        <v>36</v>
      </c>
      <c r="I128" s="43" t="s">
        <v>28</v>
      </c>
      <c r="J128" s="2" t="s">
        <v>38</v>
      </c>
      <c r="K128" s="47" t="s">
        <v>39</v>
      </c>
      <c r="L128" s="57"/>
      <c r="M128" s="5"/>
      <c r="N128" s="5"/>
      <c r="O128" s="5"/>
      <c r="P128" s="56"/>
      <c r="Q128" s="56"/>
      <c r="R128" s="64"/>
      <c r="S128" s="68" t="s">
        <v>410</v>
      </c>
      <c r="T128" s="2" t="s">
        <v>411</v>
      </c>
      <c r="U128" s="1"/>
      <c r="V128" s="1"/>
      <c r="W128" s="25"/>
    </row>
    <row r="129" spans="1:23" ht="85.5" customHeight="1" x14ac:dyDescent="0.25">
      <c r="A129" s="95" t="s">
        <v>56</v>
      </c>
      <c r="B129" s="24" t="s">
        <v>220</v>
      </c>
      <c r="C129" s="25">
        <v>2101</v>
      </c>
      <c r="D129" s="43" t="s">
        <v>417</v>
      </c>
      <c r="E129" s="1" t="s">
        <v>421</v>
      </c>
      <c r="F129" s="25" t="s">
        <v>26</v>
      </c>
      <c r="G129" s="43" t="s">
        <v>35</v>
      </c>
      <c r="H129" s="47" t="s">
        <v>36</v>
      </c>
      <c r="I129" s="43" t="s">
        <v>28</v>
      </c>
      <c r="J129" s="2" t="s">
        <v>38</v>
      </c>
      <c r="K129" s="47" t="s">
        <v>39</v>
      </c>
      <c r="L129" s="57"/>
      <c r="M129" s="5"/>
      <c r="N129" s="5"/>
      <c r="O129" s="5"/>
      <c r="P129" s="56"/>
      <c r="Q129" s="56"/>
      <c r="R129" s="64"/>
      <c r="S129" s="68" t="s">
        <v>410</v>
      </c>
      <c r="T129" s="2" t="s">
        <v>411</v>
      </c>
      <c r="U129" s="1"/>
      <c r="V129" s="1"/>
      <c r="W129" s="25"/>
    </row>
    <row r="130" spans="1:23" ht="85.5" customHeight="1" x14ac:dyDescent="0.25">
      <c r="A130" s="95" t="s">
        <v>56</v>
      </c>
      <c r="B130" s="24" t="s">
        <v>220</v>
      </c>
      <c r="C130" s="25">
        <v>2101</v>
      </c>
      <c r="D130" s="43" t="s">
        <v>417</v>
      </c>
      <c r="E130" s="1" t="s">
        <v>422</v>
      </c>
      <c r="F130" s="25" t="s">
        <v>26</v>
      </c>
      <c r="G130" s="43" t="s">
        <v>35</v>
      </c>
      <c r="H130" s="47" t="s">
        <v>36</v>
      </c>
      <c r="I130" s="43" t="s">
        <v>245</v>
      </c>
      <c r="J130" s="2" t="s">
        <v>38</v>
      </c>
      <c r="K130" s="47" t="s">
        <v>39</v>
      </c>
      <c r="L130" s="57"/>
      <c r="M130" s="5"/>
      <c r="N130" s="5"/>
      <c r="O130" s="5"/>
      <c r="P130" s="56"/>
      <c r="Q130" s="56"/>
      <c r="R130" s="64"/>
      <c r="S130" s="68" t="s">
        <v>410</v>
      </c>
      <c r="T130" s="2" t="s">
        <v>411</v>
      </c>
      <c r="U130" s="1"/>
      <c r="V130" s="1"/>
      <c r="W130" s="25"/>
    </row>
    <row r="131" spans="1:23" ht="86.25" customHeight="1" x14ac:dyDescent="0.25">
      <c r="A131" s="95" t="s">
        <v>56</v>
      </c>
      <c r="B131" s="24" t="s">
        <v>220</v>
      </c>
      <c r="C131" s="25">
        <v>2101</v>
      </c>
      <c r="D131" s="43" t="s">
        <v>417</v>
      </c>
      <c r="E131" s="1" t="s">
        <v>423</v>
      </c>
      <c r="F131" s="25" t="s">
        <v>26</v>
      </c>
      <c r="G131" s="43" t="s">
        <v>35</v>
      </c>
      <c r="H131" s="47" t="s">
        <v>36</v>
      </c>
      <c r="I131" s="43" t="s">
        <v>30</v>
      </c>
      <c r="J131" s="2" t="s">
        <v>38</v>
      </c>
      <c r="K131" s="47" t="s">
        <v>39</v>
      </c>
      <c r="L131" s="57"/>
      <c r="M131" s="5"/>
      <c r="N131" s="5"/>
      <c r="O131" s="5"/>
      <c r="P131" s="56"/>
      <c r="Q131" s="56"/>
      <c r="R131" s="64"/>
      <c r="S131" s="68" t="s">
        <v>410</v>
      </c>
      <c r="T131" s="2" t="s">
        <v>411</v>
      </c>
      <c r="U131" s="1"/>
      <c r="V131" s="1"/>
      <c r="W131" s="25"/>
    </row>
    <row r="132" spans="1:23" ht="86.25" customHeight="1" x14ac:dyDescent="0.25">
      <c r="A132" s="95" t="s">
        <v>56</v>
      </c>
      <c r="B132" s="24" t="s">
        <v>220</v>
      </c>
      <c r="C132" s="25">
        <v>2101</v>
      </c>
      <c r="D132" s="43" t="s">
        <v>417</v>
      </c>
      <c r="E132" s="1" t="s">
        <v>424</v>
      </c>
      <c r="F132" s="25" t="s">
        <v>46</v>
      </c>
      <c r="G132" s="43" t="s">
        <v>35</v>
      </c>
      <c r="H132" s="47" t="s">
        <v>36</v>
      </c>
      <c r="I132" s="43" t="s">
        <v>51</v>
      </c>
      <c r="J132" s="2" t="s">
        <v>11</v>
      </c>
      <c r="K132" s="47" t="s">
        <v>49</v>
      </c>
      <c r="L132" s="57"/>
      <c r="M132" s="3">
        <v>10.967363051648199</v>
      </c>
      <c r="N132" s="3">
        <v>0</v>
      </c>
      <c r="O132" s="3">
        <v>0</v>
      </c>
      <c r="P132" s="56">
        <v>10.967363051648199</v>
      </c>
      <c r="Q132" s="56">
        <v>10.967363051648199</v>
      </c>
      <c r="R132" s="64"/>
      <c r="S132" s="68" t="s">
        <v>410</v>
      </c>
      <c r="T132" s="2" t="s">
        <v>411</v>
      </c>
      <c r="U132" s="1"/>
      <c r="V132" s="1"/>
      <c r="W132" s="25"/>
    </row>
    <row r="133" spans="1:23" ht="86.25" customHeight="1" x14ac:dyDescent="0.25">
      <c r="A133" s="95" t="s">
        <v>56</v>
      </c>
      <c r="B133" s="24" t="s">
        <v>220</v>
      </c>
      <c r="C133" s="25">
        <v>2101</v>
      </c>
      <c r="D133" s="43" t="s">
        <v>417</v>
      </c>
      <c r="E133" s="1" t="s">
        <v>425</v>
      </c>
      <c r="F133" s="25" t="s">
        <v>26</v>
      </c>
      <c r="G133" s="43" t="s">
        <v>35</v>
      </c>
      <c r="H133" s="47" t="s">
        <v>36</v>
      </c>
      <c r="I133" s="43" t="s">
        <v>37</v>
      </c>
      <c r="J133" s="2" t="s">
        <v>38</v>
      </c>
      <c r="K133" s="47" t="s">
        <v>39</v>
      </c>
      <c r="L133" s="57"/>
      <c r="M133" s="5"/>
      <c r="N133" s="5"/>
      <c r="O133" s="5"/>
      <c r="P133" s="56"/>
      <c r="Q133" s="56"/>
      <c r="R133" s="64"/>
      <c r="S133" s="68" t="s">
        <v>410</v>
      </c>
      <c r="T133" s="2" t="s">
        <v>411</v>
      </c>
      <c r="U133" s="1"/>
      <c r="V133" s="1"/>
      <c r="W133" s="25"/>
    </row>
    <row r="134" spans="1:23" ht="86.25" customHeight="1" x14ac:dyDescent="0.25">
      <c r="A134" s="95" t="s">
        <v>56</v>
      </c>
      <c r="B134" s="24" t="s">
        <v>220</v>
      </c>
      <c r="C134" s="25">
        <v>2101</v>
      </c>
      <c r="D134" s="43" t="s">
        <v>426</v>
      </c>
      <c r="E134" s="1" t="s">
        <v>427</v>
      </c>
      <c r="F134" s="25" t="s">
        <v>31</v>
      </c>
      <c r="G134" s="43" t="s">
        <v>428</v>
      </c>
      <c r="H134" s="47" t="s">
        <v>36</v>
      </c>
      <c r="I134" s="43" t="s">
        <v>199</v>
      </c>
      <c r="J134" s="2" t="s">
        <v>11</v>
      </c>
      <c r="K134" s="47" t="s">
        <v>151</v>
      </c>
      <c r="L134" s="57"/>
      <c r="M134" s="3">
        <v>0.128205128205128</v>
      </c>
      <c r="N134" s="3">
        <v>0.128205128205128</v>
      </c>
      <c r="O134" s="3">
        <v>0.128205128205128</v>
      </c>
      <c r="P134" s="56">
        <v>0.128205128205128</v>
      </c>
      <c r="Q134" s="56">
        <v>0.128205128205128</v>
      </c>
      <c r="R134" s="64"/>
      <c r="S134" s="68" t="s">
        <v>410</v>
      </c>
      <c r="T134" s="2" t="s">
        <v>411</v>
      </c>
      <c r="U134" s="1"/>
      <c r="V134" s="1"/>
      <c r="W134" s="25"/>
    </row>
    <row r="135" spans="1:23" ht="86.25" customHeight="1" x14ac:dyDescent="0.25">
      <c r="A135" s="95" t="s">
        <v>56</v>
      </c>
      <c r="B135" s="24" t="s">
        <v>220</v>
      </c>
      <c r="C135" s="25">
        <v>2101</v>
      </c>
      <c r="D135" s="43" t="s">
        <v>429</v>
      </c>
      <c r="E135" s="1" t="s">
        <v>430</v>
      </c>
      <c r="F135" s="25" t="s">
        <v>31</v>
      </c>
      <c r="G135" s="43" t="s">
        <v>431</v>
      </c>
      <c r="H135" s="47" t="s">
        <v>36</v>
      </c>
      <c r="I135" s="43" t="s">
        <v>676</v>
      </c>
      <c r="J135" s="2" t="s">
        <v>10</v>
      </c>
      <c r="K135" s="47" t="s">
        <v>151</v>
      </c>
      <c r="L135" s="55">
        <v>0.8</v>
      </c>
      <c r="M135" s="5"/>
      <c r="N135" s="5"/>
      <c r="O135" s="5"/>
      <c r="P135" s="56">
        <v>0.76923076923076905</v>
      </c>
      <c r="Q135" s="56">
        <v>0.76923076923076905</v>
      </c>
      <c r="R135" s="64"/>
      <c r="S135" s="68" t="s">
        <v>410</v>
      </c>
      <c r="T135" s="2" t="s">
        <v>411</v>
      </c>
      <c r="U135" s="1"/>
      <c r="V135" s="1"/>
      <c r="W135" s="25"/>
    </row>
    <row r="136" spans="1:23" ht="86.25" customHeight="1" x14ac:dyDescent="0.25">
      <c r="A136" s="95" t="s">
        <v>56</v>
      </c>
      <c r="B136" s="24" t="s">
        <v>220</v>
      </c>
      <c r="C136" s="25">
        <v>2101</v>
      </c>
      <c r="D136" s="43" t="s">
        <v>432</v>
      </c>
      <c r="E136" s="1" t="s">
        <v>433</v>
      </c>
      <c r="F136" s="25" t="s">
        <v>31</v>
      </c>
      <c r="G136" s="43" t="s">
        <v>434</v>
      </c>
      <c r="H136" s="47" t="s">
        <v>36</v>
      </c>
      <c r="I136" s="43" t="s">
        <v>192</v>
      </c>
      <c r="J136" s="2" t="s">
        <v>11</v>
      </c>
      <c r="K136" s="47" t="s">
        <v>151</v>
      </c>
      <c r="L136" s="57"/>
      <c r="M136" s="3">
        <v>0.28333333333333299</v>
      </c>
      <c r="N136" s="3">
        <v>0.28333333333333299</v>
      </c>
      <c r="O136" s="3">
        <v>0.28333333333333299</v>
      </c>
      <c r="P136" s="56">
        <v>0.28333333333333299</v>
      </c>
      <c r="Q136" s="56">
        <v>0.28333333333333299</v>
      </c>
      <c r="R136" s="64"/>
      <c r="S136" s="68" t="s">
        <v>410</v>
      </c>
      <c r="T136" s="2" t="s">
        <v>411</v>
      </c>
      <c r="U136" s="1"/>
      <c r="V136" s="1"/>
      <c r="W136" s="25"/>
    </row>
    <row r="137" spans="1:23" ht="86.25" customHeight="1" x14ac:dyDescent="0.25">
      <c r="A137" s="95" t="s">
        <v>56</v>
      </c>
      <c r="B137" s="24" t="s">
        <v>220</v>
      </c>
      <c r="C137" s="25">
        <v>2101</v>
      </c>
      <c r="D137" s="43" t="s">
        <v>435</v>
      </c>
      <c r="E137" s="1" t="s">
        <v>436</v>
      </c>
      <c r="F137" s="25" t="s">
        <v>26</v>
      </c>
      <c r="G137" s="43" t="s">
        <v>189</v>
      </c>
      <c r="H137" s="47" t="s">
        <v>36</v>
      </c>
      <c r="I137" s="43" t="s">
        <v>117</v>
      </c>
      <c r="J137" s="2" t="s">
        <v>10</v>
      </c>
      <c r="K137" s="47" t="s">
        <v>120</v>
      </c>
      <c r="L137" s="55">
        <v>0.128205128205128</v>
      </c>
      <c r="M137" s="5"/>
      <c r="N137" s="5"/>
      <c r="O137" s="5"/>
      <c r="P137" s="56">
        <v>0.128205128205128</v>
      </c>
      <c r="Q137" s="56">
        <v>0.128205128205128</v>
      </c>
      <c r="R137" s="64"/>
      <c r="S137" s="68" t="s">
        <v>410</v>
      </c>
      <c r="T137" s="2" t="s">
        <v>411</v>
      </c>
      <c r="U137" s="1"/>
      <c r="V137" s="1"/>
      <c r="W137" s="25"/>
    </row>
    <row r="138" spans="1:23" ht="86.25" customHeight="1" x14ac:dyDescent="0.25">
      <c r="A138" s="95" t="s">
        <v>56</v>
      </c>
      <c r="B138" s="24" t="s">
        <v>220</v>
      </c>
      <c r="C138" s="25">
        <v>2101</v>
      </c>
      <c r="D138" s="43" t="s">
        <v>435</v>
      </c>
      <c r="E138" s="1" t="s">
        <v>436</v>
      </c>
      <c r="F138" s="25" t="s">
        <v>31</v>
      </c>
      <c r="G138" s="43" t="s">
        <v>189</v>
      </c>
      <c r="H138" s="47" t="s">
        <v>36</v>
      </c>
      <c r="I138" s="43" t="s">
        <v>117</v>
      </c>
      <c r="J138" s="2" t="s">
        <v>10</v>
      </c>
      <c r="K138" s="47" t="s">
        <v>120</v>
      </c>
      <c r="L138" s="55">
        <v>0.256410256410256</v>
      </c>
      <c r="M138" s="5"/>
      <c r="N138" s="5"/>
      <c r="O138" s="5"/>
      <c r="P138" s="56">
        <v>0.256410256410256</v>
      </c>
      <c r="Q138" s="56">
        <v>0.256410256410256</v>
      </c>
      <c r="R138" s="64"/>
      <c r="S138" s="68" t="s">
        <v>410</v>
      </c>
      <c r="T138" s="2" t="s">
        <v>411</v>
      </c>
      <c r="U138" s="1"/>
      <c r="V138" s="1"/>
      <c r="W138" s="25"/>
    </row>
    <row r="139" spans="1:23" ht="86.25" customHeight="1" x14ac:dyDescent="0.25">
      <c r="A139" s="95" t="s">
        <v>56</v>
      </c>
      <c r="B139" s="24" t="s">
        <v>220</v>
      </c>
      <c r="C139" s="25">
        <v>2101</v>
      </c>
      <c r="D139" s="43" t="s">
        <v>435</v>
      </c>
      <c r="E139" s="1" t="s">
        <v>437</v>
      </c>
      <c r="F139" s="25" t="s">
        <v>26</v>
      </c>
      <c r="G139" s="43" t="s">
        <v>438</v>
      </c>
      <c r="H139" s="47" t="s">
        <v>36</v>
      </c>
      <c r="I139" s="43" t="s">
        <v>24</v>
      </c>
      <c r="J139" s="2" t="s">
        <v>11</v>
      </c>
      <c r="K139" s="47" t="s">
        <v>120</v>
      </c>
      <c r="L139" s="57"/>
      <c r="M139" s="3">
        <v>0.76923076923076905</v>
      </c>
      <c r="N139" s="3">
        <v>0</v>
      </c>
      <c r="O139" s="3">
        <v>0</v>
      </c>
      <c r="P139" s="56">
        <v>0.76923076923076905</v>
      </c>
      <c r="Q139" s="56">
        <v>0.76923076923076905</v>
      </c>
      <c r="R139" s="64"/>
      <c r="S139" s="68" t="s">
        <v>410</v>
      </c>
      <c r="T139" s="2" t="s">
        <v>411</v>
      </c>
      <c r="U139" s="1"/>
      <c r="V139" s="1"/>
      <c r="W139" s="25"/>
    </row>
    <row r="140" spans="1:23" ht="86.25" customHeight="1" x14ac:dyDescent="0.25">
      <c r="A140" s="95" t="s">
        <v>56</v>
      </c>
      <c r="B140" s="24" t="s">
        <v>220</v>
      </c>
      <c r="C140" s="25">
        <v>2101</v>
      </c>
      <c r="D140" s="43" t="s">
        <v>435</v>
      </c>
      <c r="E140" s="1" t="s">
        <v>437</v>
      </c>
      <c r="F140" s="25" t="s">
        <v>31</v>
      </c>
      <c r="G140" s="43" t="s">
        <v>438</v>
      </c>
      <c r="H140" s="47" t="s">
        <v>36</v>
      </c>
      <c r="I140" s="43" t="s">
        <v>24</v>
      </c>
      <c r="J140" s="2" t="s">
        <v>11</v>
      </c>
      <c r="K140" s="47" t="s">
        <v>120</v>
      </c>
      <c r="L140" s="57"/>
      <c r="M140" s="3">
        <v>0.1</v>
      </c>
      <c r="N140" s="3">
        <v>0</v>
      </c>
      <c r="O140" s="3">
        <v>0</v>
      </c>
      <c r="P140" s="56">
        <v>0.1</v>
      </c>
      <c r="Q140" s="56">
        <v>0.1</v>
      </c>
      <c r="R140" s="64"/>
      <c r="S140" s="68" t="s">
        <v>410</v>
      </c>
      <c r="T140" s="2" t="s">
        <v>411</v>
      </c>
      <c r="U140" s="1"/>
      <c r="V140" s="1"/>
      <c r="W140" s="25"/>
    </row>
    <row r="141" spans="1:23" ht="86.25" customHeight="1" x14ac:dyDescent="0.25">
      <c r="A141" s="95" t="s">
        <v>56</v>
      </c>
      <c r="B141" s="24" t="s">
        <v>220</v>
      </c>
      <c r="C141" s="25">
        <v>2101</v>
      </c>
      <c r="D141" s="43" t="s">
        <v>439</v>
      </c>
      <c r="E141" s="1" t="s">
        <v>440</v>
      </c>
      <c r="F141" s="25" t="s">
        <v>26</v>
      </c>
      <c r="G141" s="43" t="s">
        <v>230</v>
      </c>
      <c r="H141" s="47" t="s">
        <v>39</v>
      </c>
      <c r="I141" s="43" t="s">
        <v>28</v>
      </c>
      <c r="J141" s="2" t="s">
        <v>38</v>
      </c>
      <c r="K141" s="47" t="s">
        <v>39</v>
      </c>
      <c r="L141" s="57"/>
      <c r="M141" s="5"/>
      <c r="N141" s="5"/>
      <c r="O141" s="5"/>
      <c r="P141" s="56"/>
      <c r="Q141" s="56"/>
      <c r="R141" s="64"/>
      <c r="S141" s="68" t="s">
        <v>410</v>
      </c>
      <c r="T141" s="2" t="s">
        <v>411</v>
      </c>
      <c r="U141" s="1"/>
      <c r="V141" s="1"/>
      <c r="W141" s="25"/>
    </row>
    <row r="142" spans="1:23" ht="86.25" customHeight="1" thickBot="1" x14ac:dyDescent="0.3">
      <c r="A142" s="96" t="s">
        <v>56</v>
      </c>
      <c r="B142" s="26" t="s">
        <v>220</v>
      </c>
      <c r="C142" s="32">
        <v>2101</v>
      </c>
      <c r="D142" s="44" t="s">
        <v>441</v>
      </c>
      <c r="E142" s="27" t="s">
        <v>442</v>
      </c>
      <c r="F142" s="32" t="s">
        <v>31</v>
      </c>
      <c r="G142" s="44" t="s">
        <v>443</v>
      </c>
      <c r="H142" s="48" t="s">
        <v>36</v>
      </c>
      <c r="I142" s="44" t="s">
        <v>37</v>
      </c>
      <c r="J142" s="28" t="s">
        <v>38</v>
      </c>
      <c r="K142" s="48" t="s">
        <v>39</v>
      </c>
      <c r="L142" s="58"/>
      <c r="M142" s="29"/>
      <c r="N142" s="29"/>
      <c r="O142" s="29"/>
      <c r="P142" s="59"/>
      <c r="Q142" s="59">
        <v>40.200000000000003</v>
      </c>
      <c r="R142" s="65"/>
      <c r="S142" s="69" t="s">
        <v>410</v>
      </c>
      <c r="T142" s="28" t="s">
        <v>411</v>
      </c>
      <c r="U142" s="27"/>
      <c r="V142" s="27"/>
      <c r="W142" s="32"/>
    </row>
    <row r="143" spans="1:23" ht="128.25" customHeight="1" x14ac:dyDescent="0.25">
      <c r="A143" s="94" t="s">
        <v>56</v>
      </c>
      <c r="B143" s="18" t="s">
        <v>221</v>
      </c>
      <c r="C143" s="23">
        <v>1312</v>
      </c>
      <c r="D143" s="42" t="s">
        <v>444</v>
      </c>
      <c r="E143" s="19" t="s">
        <v>445</v>
      </c>
      <c r="F143" s="23" t="s">
        <v>22</v>
      </c>
      <c r="G143" s="42" t="s">
        <v>23</v>
      </c>
      <c r="H143" s="46" t="s">
        <v>36</v>
      </c>
      <c r="I143" s="42" t="s">
        <v>24</v>
      </c>
      <c r="J143" s="20" t="s">
        <v>11</v>
      </c>
      <c r="K143" s="46" t="s">
        <v>120</v>
      </c>
      <c r="L143" s="53"/>
      <c r="M143" s="98">
        <v>2.2247191011235952</v>
      </c>
      <c r="N143" s="98">
        <v>2.2247191011235952</v>
      </c>
      <c r="O143" s="98" t="s">
        <v>446</v>
      </c>
      <c r="P143" s="54">
        <v>2.2247191011235952</v>
      </c>
      <c r="Q143" s="54">
        <v>2.2247191011235952</v>
      </c>
      <c r="R143" s="63" t="s">
        <v>447</v>
      </c>
      <c r="S143" s="67" t="s">
        <v>41</v>
      </c>
      <c r="T143" s="22" t="s">
        <v>42</v>
      </c>
      <c r="U143" s="19" t="s">
        <v>43</v>
      </c>
      <c r="V143" s="19" t="s">
        <v>25</v>
      </c>
      <c r="W143" s="23" t="s">
        <v>448</v>
      </c>
    </row>
    <row r="144" spans="1:23" ht="128.25" customHeight="1" x14ac:dyDescent="0.25">
      <c r="A144" s="95" t="s">
        <v>56</v>
      </c>
      <c r="B144" s="24" t="s">
        <v>221</v>
      </c>
      <c r="C144" s="25">
        <v>1312</v>
      </c>
      <c r="D144" s="43" t="s">
        <v>449</v>
      </c>
      <c r="E144" s="1" t="s">
        <v>450</v>
      </c>
      <c r="F144" s="25" t="s">
        <v>22</v>
      </c>
      <c r="G144" s="43" t="s">
        <v>23</v>
      </c>
      <c r="H144" s="47" t="s">
        <v>36</v>
      </c>
      <c r="I144" s="43" t="s">
        <v>24</v>
      </c>
      <c r="J144" s="2" t="s">
        <v>11</v>
      </c>
      <c r="K144" s="47" t="s">
        <v>120</v>
      </c>
      <c r="L144" s="57"/>
      <c r="M144" s="3">
        <v>0.12359550561797752</v>
      </c>
      <c r="N144" s="3">
        <v>0.12359550561797752</v>
      </c>
      <c r="O144" s="3" t="s">
        <v>446</v>
      </c>
      <c r="P144" s="56">
        <v>0.12359550561797752</v>
      </c>
      <c r="Q144" s="56">
        <v>0.12359550561797752</v>
      </c>
      <c r="R144" s="64" t="s">
        <v>447</v>
      </c>
      <c r="S144" s="68" t="s">
        <v>41</v>
      </c>
      <c r="T144" s="4" t="s">
        <v>42</v>
      </c>
      <c r="U144" s="1" t="s">
        <v>43</v>
      </c>
      <c r="V144" s="1" t="s">
        <v>25</v>
      </c>
      <c r="W144" s="25" t="s">
        <v>448</v>
      </c>
    </row>
    <row r="145" spans="1:23" ht="128.25" customHeight="1" x14ac:dyDescent="0.25">
      <c r="A145" s="95" t="s">
        <v>56</v>
      </c>
      <c r="B145" s="24" t="s">
        <v>221</v>
      </c>
      <c r="C145" s="25">
        <v>1312</v>
      </c>
      <c r="D145" s="43" t="s">
        <v>451</v>
      </c>
      <c r="E145" s="1" t="s">
        <v>452</v>
      </c>
      <c r="F145" s="25" t="s">
        <v>22</v>
      </c>
      <c r="G145" s="43" t="s">
        <v>23</v>
      </c>
      <c r="H145" s="47" t="s">
        <v>36</v>
      </c>
      <c r="I145" s="43" t="s">
        <v>24</v>
      </c>
      <c r="J145" s="2" t="s">
        <v>11</v>
      </c>
      <c r="K145" s="47" t="s">
        <v>120</v>
      </c>
      <c r="L145" s="57"/>
      <c r="M145" s="3">
        <v>1E-10</v>
      </c>
      <c r="N145" s="3">
        <v>1E-10</v>
      </c>
      <c r="O145" s="3" t="s">
        <v>446</v>
      </c>
      <c r="P145" s="56">
        <v>1E-10</v>
      </c>
      <c r="Q145" s="56">
        <v>1E-10</v>
      </c>
      <c r="R145" s="64" t="s">
        <v>447</v>
      </c>
      <c r="S145" s="68" t="s">
        <v>41</v>
      </c>
      <c r="T145" s="4" t="s">
        <v>42</v>
      </c>
      <c r="U145" s="1" t="s">
        <v>43</v>
      </c>
      <c r="V145" s="1" t="s">
        <v>25</v>
      </c>
      <c r="W145" s="25" t="s">
        <v>448</v>
      </c>
    </row>
    <row r="146" spans="1:23" ht="57" customHeight="1" x14ac:dyDescent="0.25">
      <c r="A146" s="95" t="s">
        <v>56</v>
      </c>
      <c r="B146" s="24" t="s">
        <v>221</v>
      </c>
      <c r="C146" s="25">
        <v>1799</v>
      </c>
      <c r="D146" s="43" t="s">
        <v>453</v>
      </c>
      <c r="E146" s="1" t="s">
        <v>453</v>
      </c>
      <c r="F146" s="25" t="s">
        <v>22</v>
      </c>
      <c r="G146" s="43" t="s">
        <v>372</v>
      </c>
      <c r="H146" s="47" t="s">
        <v>36</v>
      </c>
      <c r="I146" s="43" t="s">
        <v>199</v>
      </c>
      <c r="J146" s="2" t="s">
        <v>11</v>
      </c>
      <c r="K146" s="47" t="s">
        <v>151</v>
      </c>
      <c r="L146" s="57"/>
      <c r="M146" s="3">
        <v>1E-8</v>
      </c>
      <c r="N146" s="3">
        <v>1E-8</v>
      </c>
      <c r="O146" s="3" t="s">
        <v>446</v>
      </c>
      <c r="P146" s="56">
        <v>1E-8</v>
      </c>
      <c r="Q146" s="56">
        <v>1E-8</v>
      </c>
      <c r="R146" s="64" t="s">
        <v>447</v>
      </c>
      <c r="S146" s="68" t="s">
        <v>41</v>
      </c>
      <c r="T146" s="4" t="s">
        <v>42</v>
      </c>
      <c r="U146" s="1" t="s">
        <v>43</v>
      </c>
      <c r="V146" s="1"/>
      <c r="W146" s="25"/>
    </row>
    <row r="147" spans="1:23" ht="42.75" customHeight="1" x14ac:dyDescent="0.25">
      <c r="A147" s="95" t="s">
        <v>56</v>
      </c>
      <c r="B147" s="24" t="s">
        <v>221</v>
      </c>
      <c r="C147" s="25">
        <v>1799</v>
      </c>
      <c r="D147" s="43" t="s">
        <v>454</v>
      </c>
      <c r="E147" s="1" t="s">
        <v>455</v>
      </c>
      <c r="F147" s="25" t="s">
        <v>22</v>
      </c>
      <c r="G147" s="43" t="s">
        <v>23</v>
      </c>
      <c r="H147" s="47" t="s">
        <v>36</v>
      </c>
      <c r="I147" s="43" t="s">
        <v>24</v>
      </c>
      <c r="J147" s="2" t="s">
        <v>11</v>
      </c>
      <c r="K147" s="47" t="s">
        <v>120</v>
      </c>
      <c r="L147" s="57"/>
      <c r="M147" s="3">
        <v>0.17479438202247191</v>
      </c>
      <c r="N147" s="3">
        <v>0.17479438202247191</v>
      </c>
      <c r="O147" s="3" t="s">
        <v>446</v>
      </c>
      <c r="P147" s="56">
        <v>0.17479438202247191</v>
      </c>
      <c r="Q147" s="56">
        <v>0.17479438202247191</v>
      </c>
      <c r="R147" s="64" t="s">
        <v>447</v>
      </c>
      <c r="S147" s="68" t="s">
        <v>41</v>
      </c>
      <c r="T147" s="4" t="s">
        <v>42</v>
      </c>
      <c r="U147" s="1" t="s">
        <v>43</v>
      </c>
      <c r="V147" s="1"/>
      <c r="W147" s="25"/>
    </row>
    <row r="148" spans="1:23" ht="128.25" customHeight="1" x14ac:dyDescent="0.25">
      <c r="A148" s="95" t="s">
        <v>56</v>
      </c>
      <c r="B148" s="24" t="s">
        <v>221</v>
      </c>
      <c r="C148" s="25">
        <v>1312</v>
      </c>
      <c r="D148" s="43" t="s">
        <v>456</v>
      </c>
      <c r="E148" s="1" t="s">
        <v>457</v>
      </c>
      <c r="F148" s="25" t="s">
        <v>22</v>
      </c>
      <c r="G148" s="43"/>
      <c r="H148" s="47" t="s">
        <v>249</v>
      </c>
      <c r="I148" s="99" t="s">
        <v>480</v>
      </c>
      <c r="J148" s="2"/>
      <c r="K148" s="47"/>
      <c r="L148" s="57"/>
      <c r="M148" s="5"/>
      <c r="N148" s="5"/>
      <c r="O148" s="5"/>
      <c r="P148" s="107"/>
      <c r="Q148" s="107"/>
      <c r="R148" s="64" t="s">
        <v>458</v>
      </c>
      <c r="S148" s="68" t="s">
        <v>41</v>
      </c>
      <c r="T148" s="4" t="s">
        <v>42</v>
      </c>
      <c r="U148" s="1" t="s">
        <v>43</v>
      </c>
      <c r="V148" s="1" t="s">
        <v>25</v>
      </c>
      <c r="W148" s="25" t="s">
        <v>459</v>
      </c>
    </row>
    <row r="149" spans="1:23" ht="128.25" customHeight="1" x14ac:dyDescent="0.25">
      <c r="A149" s="95" t="s">
        <v>56</v>
      </c>
      <c r="B149" s="24" t="s">
        <v>221</v>
      </c>
      <c r="C149" s="25">
        <v>1312</v>
      </c>
      <c r="D149" s="43" t="s">
        <v>460</v>
      </c>
      <c r="E149" s="1" t="s">
        <v>587</v>
      </c>
      <c r="F149" s="25" t="s">
        <v>26</v>
      </c>
      <c r="G149" s="43" t="s">
        <v>35</v>
      </c>
      <c r="H149" s="47" t="s">
        <v>36</v>
      </c>
      <c r="I149" s="99" t="s">
        <v>37</v>
      </c>
      <c r="J149" s="2" t="s">
        <v>38</v>
      </c>
      <c r="K149" s="47" t="s">
        <v>39</v>
      </c>
      <c r="L149" s="57"/>
      <c r="M149" s="5"/>
      <c r="N149" s="5"/>
      <c r="O149" s="5"/>
      <c r="P149" s="56">
        <v>1.5853936516853933</v>
      </c>
      <c r="Q149" s="56">
        <v>1.5853936516853933</v>
      </c>
      <c r="R149" s="64" t="s">
        <v>461</v>
      </c>
      <c r="S149" s="68" t="s">
        <v>41</v>
      </c>
      <c r="T149" s="4" t="s">
        <v>42</v>
      </c>
      <c r="U149" s="1" t="s">
        <v>43</v>
      </c>
      <c r="V149" s="1" t="s">
        <v>25</v>
      </c>
      <c r="W149" s="25" t="s">
        <v>462</v>
      </c>
    </row>
    <row r="150" spans="1:23" ht="57" customHeight="1" x14ac:dyDescent="0.25">
      <c r="A150" s="95" t="s">
        <v>56</v>
      </c>
      <c r="B150" s="24" t="s">
        <v>221</v>
      </c>
      <c r="C150" s="25">
        <v>1407</v>
      </c>
      <c r="D150" s="43" t="s">
        <v>463</v>
      </c>
      <c r="E150" s="1" t="s">
        <v>464</v>
      </c>
      <c r="F150" s="25" t="s">
        <v>186</v>
      </c>
      <c r="G150" s="43" t="s">
        <v>27</v>
      </c>
      <c r="H150" s="47" t="s">
        <v>39</v>
      </c>
      <c r="I150" s="43" t="s">
        <v>28</v>
      </c>
      <c r="J150" s="2" t="s">
        <v>38</v>
      </c>
      <c r="K150" s="47" t="s">
        <v>39</v>
      </c>
      <c r="L150" s="57"/>
      <c r="M150" s="5"/>
      <c r="N150" s="5"/>
      <c r="O150" s="5"/>
      <c r="P150" s="56">
        <v>0.29654102247191005</v>
      </c>
      <c r="Q150" s="56">
        <v>0.29654102247191005</v>
      </c>
      <c r="R150" s="64" t="s">
        <v>461</v>
      </c>
      <c r="S150" s="68" t="s">
        <v>41</v>
      </c>
      <c r="T150" s="4" t="s">
        <v>42</v>
      </c>
      <c r="U150" s="1" t="s">
        <v>43</v>
      </c>
      <c r="V150" s="1"/>
      <c r="W150" s="25"/>
    </row>
    <row r="151" spans="1:23" ht="128.25" customHeight="1" x14ac:dyDescent="0.25">
      <c r="A151" s="95" t="s">
        <v>56</v>
      </c>
      <c r="B151" s="24" t="s">
        <v>221</v>
      </c>
      <c r="C151" s="25">
        <v>1312</v>
      </c>
      <c r="D151" s="43" t="s">
        <v>453</v>
      </c>
      <c r="E151" s="1" t="s">
        <v>453</v>
      </c>
      <c r="F151" s="25" t="s">
        <v>22</v>
      </c>
      <c r="G151" s="43" t="s">
        <v>465</v>
      </c>
      <c r="H151" s="47" t="s">
        <v>119</v>
      </c>
      <c r="I151" s="43" t="s">
        <v>199</v>
      </c>
      <c r="J151" s="2" t="s">
        <v>11</v>
      </c>
      <c r="K151" s="47" t="s">
        <v>151</v>
      </c>
      <c r="L151" s="57"/>
      <c r="M151" s="3">
        <v>1E-8</v>
      </c>
      <c r="N151" s="3">
        <v>1E-8</v>
      </c>
      <c r="O151" s="3" t="s">
        <v>446</v>
      </c>
      <c r="P151" s="56">
        <v>1E-8</v>
      </c>
      <c r="Q151" s="56">
        <v>1E-8</v>
      </c>
      <c r="R151" s="64" t="s">
        <v>447</v>
      </c>
      <c r="S151" s="68" t="s">
        <v>41</v>
      </c>
      <c r="T151" s="4" t="s">
        <v>42</v>
      </c>
      <c r="U151" s="1" t="s">
        <v>43</v>
      </c>
      <c r="V151" s="1" t="s">
        <v>25</v>
      </c>
      <c r="W151" s="25" t="s">
        <v>459</v>
      </c>
    </row>
    <row r="152" spans="1:23" ht="128.25" customHeight="1" x14ac:dyDescent="0.25">
      <c r="A152" s="95" t="s">
        <v>56</v>
      </c>
      <c r="B152" s="24" t="s">
        <v>221</v>
      </c>
      <c r="C152" s="25">
        <v>1312</v>
      </c>
      <c r="D152" s="43" t="s">
        <v>466</v>
      </c>
      <c r="E152" s="1" t="s">
        <v>467</v>
      </c>
      <c r="F152" s="25" t="s">
        <v>22</v>
      </c>
      <c r="G152" s="43" t="s">
        <v>47</v>
      </c>
      <c r="H152" s="47" t="s">
        <v>36</v>
      </c>
      <c r="I152" s="43" t="s">
        <v>24</v>
      </c>
      <c r="J152" s="2" t="s">
        <v>11</v>
      </c>
      <c r="K152" s="47" t="s">
        <v>120</v>
      </c>
      <c r="L152" s="57"/>
      <c r="M152" s="3">
        <v>2.0211685393258429E-2</v>
      </c>
      <c r="N152" s="3">
        <v>2.0211685393258429E-2</v>
      </c>
      <c r="O152" s="3" t="s">
        <v>446</v>
      </c>
      <c r="P152" s="56">
        <v>2.0211685393258429E-2</v>
      </c>
      <c r="Q152" s="56">
        <v>2.0211685393258429E-2</v>
      </c>
      <c r="R152" s="64" t="s">
        <v>447</v>
      </c>
      <c r="S152" s="68" t="s">
        <v>41</v>
      </c>
      <c r="T152" s="4" t="s">
        <v>42</v>
      </c>
      <c r="U152" s="1" t="s">
        <v>43</v>
      </c>
      <c r="V152" s="1" t="s">
        <v>25</v>
      </c>
      <c r="W152" s="25" t="s">
        <v>448</v>
      </c>
    </row>
    <row r="153" spans="1:23" ht="42.75" customHeight="1" x14ac:dyDescent="0.25">
      <c r="A153" s="95" t="s">
        <v>56</v>
      </c>
      <c r="B153" s="24" t="s">
        <v>221</v>
      </c>
      <c r="C153" s="25">
        <v>1799</v>
      </c>
      <c r="D153" s="43" t="s">
        <v>466</v>
      </c>
      <c r="E153" s="1" t="s">
        <v>467</v>
      </c>
      <c r="F153" s="25" t="s">
        <v>22</v>
      </c>
      <c r="G153" s="43" t="s">
        <v>23</v>
      </c>
      <c r="H153" s="47" t="s">
        <v>36</v>
      </c>
      <c r="I153" s="43" t="s">
        <v>24</v>
      </c>
      <c r="J153" s="2" t="s">
        <v>11</v>
      </c>
      <c r="K153" s="47" t="s">
        <v>120</v>
      </c>
      <c r="L153" s="57"/>
      <c r="M153" s="3">
        <v>0.80756550561797746</v>
      </c>
      <c r="N153" s="3">
        <v>0.80756550561797746</v>
      </c>
      <c r="O153" s="3" t="s">
        <v>446</v>
      </c>
      <c r="P153" s="56">
        <v>0.80756550561797746</v>
      </c>
      <c r="Q153" s="56">
        <v>0.80756550561797746</v>
      </c>
      <c r="R153" s="64" t="s">
        <v>447</v>
      </c>
      <c r="S153" s="68" t="s">
        <v>41</v>
      </c>
      <c r="T153" s="4" t="s">
        <v>42</v>
      </c>
      <c r="U153" s="1" t="s">
        <v>43</v>
      </c>
      <c r="V153" s="1"/>
      <c r="W153" s="25"/>
    </row>
    <row r="154" spans="1:23" ht="57" customHeight="1" x14ac:dyDescent="0.25">
      <c r="A154" s="95" t="s">
        <v>56</v>
      </c>
      <c r="B154" s="24" t="s">
        <v>221</v>
      </c>
      <c r="C154" s="25">
        <v>1799</v>
      </c>
      <c r="D154" s="43" t="s">
        <v>468</v>
      </c>
      <c r="E154" s="1" t="s">
        <v>469</v>
      </c>
      <c r="F154" s="25" t="s">
        <v>26</v>
      </c>
      <c r="G154" s="43" t="s">
        <v>27</v>
      </c>
      <c r="H154" s="47" t="s">
        <v>39</v>
      </c>
      <c r="I154" s="99" t="s">
        <v>37</v>
      </c>
      <c r="J154" s="2" t="s">
        <v>38</v>
      </c>
      <c r="K154" s="47" t="s">
        <v>39</v>
      </c>
      <c r="L154" s="57"/>
      <c r="M154" s="5"/>
      <c r="N154" s="5"/>
      <c r="O154" s="5"/>
      <c r="P154" s="56">
        <v>0.12921348314606743</v>
      </c>
      <c r="Q154" s="56">
        <v>0.12921348314606743</v>
      </c>
      <c r="R154" s="64" t="s">
        <v>461</v>
      </c>
      <c r="S154" s="68" t="s">
        <v>41</v>
      </c>
      <c r="T154" s="4" t="s">
        <v>42</v>
      </c>
      <c r="U154" s="1" t="s">
        <v>43</v>
      </c>
      <c r="V154" s="1"/>
      <c r="W154" s="25"/>
    </row>
    <row r="155" spans="1:23" ht="57" customHeight="1" x14ac:dyDescent="0.25">
      <c r="A155" s="95" t="s">
        <v>56</v>
      </c>
      <c r="B155" s="24" t="s">
        <v>221</v>
      </c>
      <c r="C155" s="25">
        <v>1799</v>
      </c>
      <c r="D155" s="43" t="s">
        <v>470</v>
      </c>
      <c r="E155" s="1" t="s">
        <v>471</v>
      </c>
      <c r="F155" s="25" t="s">
        <v>26</v>
      </c>
      <c r="G155" s="43" t="s">
        <v>27</v>
      </c>
      <c r="H155" s="47" t="s">
        <v>39</v>
      </c>
      <c r="I155" s="43" t="s">
        <v>28</v>
      </c>
      <c r="J155" s="2" t="s">
        <v>38</v>
      </c>
      <c r="K155" s="47" t="s">
        <v>39</v>
      </c>
      <c r="L155" s="57"/>
      <c r="M155" s="5"/>
      <c r="N155" s="5"/>
      <c r="O155" s="5"/>
      <c r="P155" s="56">
        <v>3.0068308275547864</v>
      </c>
      <c r="Q155" s="56">
        <v>3.0068308275547864</v>
      </c>
      <c r="R155" s="64" t="s">
        <v>461</v>
      </c>
      <c r="S155" s="68" t="s">
        <v>41</v>
      </c>
      <c r="T155" s="4" t="s">
        <v>42</v>
      </c>
      <c r="U155" s="1" t="s">
        <v>43</v>
      </c>
      <c r="V155" s="1"/>
      <c r="W155" s="25"/>
    </row>
    <row r="156" spans="1:23" ht="128.25" customHeight="1" x14ac:dyDescent="0.25">
      <c r="A156" s="95" t="s">
        <v>56</v>
      </c>
      <c r="B156" s="24" t="s">
        <v>221</v>
      </c>
      <c r="C156" s="25">
        <v>1312</v>
      </c>
      <c r="D156" s="43" t="s">
        <v>472</v>
      </c>
      <c r="E156" s="1" t="s">
        <v>473</v>
      </c>
      <c r="F156" s="25" t="s">
        <v>22</v>
      </c>
      <c r="G156" s="43" t="s">
        <v>242</v>
      </c>
      <c r="H156" s="47" t="s">
        <v>39</v>
      </c>
      <c r="I156" s="99" t="s">
        <v>37</v>
      </c>
      <c r="J156" s="2" t="s">
        <v>38</v>
      </c>
      <c r="K156" s="47" t="s">
        <v>39</v>
      </c>
      <c r="L156" s="57"/>
      <c r="M156" s="5"/>
      <c r="N156" s="5"/>
      <c r="O156" s="5"/>
      <c r="P156" s="56">
        <v>0.10195444899274159</v>
      </c>
      <c r="Q156" s="56">
        <v>0.10195444899274159</v>
      </c>
      <c r="R156" s="64" t="s">
        <v>461</v>
      </c>
      <c r="S156" s="68" t="s">
        <v>41</v>
      </c>
      <c r="T156" s="4" t="s">
        <v>42</v>
      </c>
      <c r="U156" s="1" t="s">
        <v>43</v>
      </c>
      <c r="V156" s="1" t="s">
        <v>25</v>
      </c>
      <c r="W156" s="25" t="s">
        <v>474</v>
      </c>
    </row>
    <row r="157" spans="1:23" ht="57" customHeight="1" x14ac:dyDescent="0.25">
      <c r="A157" s="95" t="s">
        <v>56</v>
      </c>
      <c r="B157" s="24" t="s">
        <v>221</v>
      </c>
      <c r="C157" s="25">
        <v>1312</v>
      </c>
      <c r="D157" s="43" t="s">
        <v>475</v>
      </c>
      <c r="E157" s="1" t="s">
        <v>476</v>
      </c>
      <c r="F157" s="25" t="s">
        <v>186</v>
      </c>
      <c r="G157" s="43" t="s">
        <v>27</v>
      </c>
      <c r="H157" s="47" t="s">
        <v>39</v>
      </c>
      <c r="I157" s="43" t="s">
        <v>28</v>
      </c>
      <c r="J157" s="2" t="s">
        <v>38</v>
      </c>
      <c r="K157" s="47" t="s">
        <v>39</v>
      </c>
      <c r="L157" s="57"/>
      <c r="M157" s="5"/>
      <c r="N157" s="5"/>
      <c r="O157" s="5"/>
      <c r="P157" s="56"/>
      <c r="Q157" s="56"/>
      <c r="R157" s="64" t="s">
        <v>461</v>
      </c>
      <c r="S157" s="68" t="s">
        <v>41</v>
      </c>
      <c r="T157" s="4" t="s">
        <v>42</v>
      </c>
      <c r="U157" s="1" t="s">
        <v>43</v>
      </c>
      <c r="V157" s="1"/>
      <c r="W157" s="25"/>
    </row>
    <row r="158" spans="1:23" ht="128.25" customHeight="1" x14ac:dyDescent="0.25">
      <c r="A158" s="95" t="s">
        <v>56</v>
      </c>
      <c r="B158" s="24" t="s">
        <v>221</v>
      </c>
      <c r="C158" s="25">
        <v>1312</v>
      </c>
      <c r="D158" s="43" t="s">
        <v>472</v>
      </c>
      <c r="E158" s="1" t="s">
        <v>477</v>
      </c>
      <c r="F158" s="25" t="s">
        <v>186</v>
      </c>
      <c r="G158" s="43" t="s">
        <v>242</v>
      </c>
      <c r="H158" s="47" t="s">
        <v>39</v>
      </c>
      <c r="I158" s="99" t="s">
        <v>37</v>
      </c>
      <c r="J158" s="2" t="s">
        <v>38</v>
      </c>
      <c r="K158" s="47" t="s">
        <v>39</v>
      </c>
      <c r="L158" s="57"/>
      <c r="M158" s="5"/>
      <c r="N158" s="5"/>
      <c r="O158" s="5"/>
      <c r="P158" s="56">
        <v>0.46906269574557308</v>
      </c>
      <c r="Q158" s="56">
        <v>0.46906269574557308</v>
      </c>
      <c r="R158" s="64" t="s">
        <v>461</v>
      </c>
      <c r="S158" s="68" t="s">
        <v>41</v>
      </c>
      <c r="T158" s="4" t="s">
        <v>42</v>
      </c>
      <c r="U158" s="1" t="s">
        <v>43</v>
      </c>
      <c r="V158" s="1" t="s">
        <v>25</v>
      </c>
      <c r="W158" s="25" t="s">
        <v>474</v>
      </c>
    </row>
    <row r="159" spans="1:23" ht="129" customHeight="1" thickBot="1" x14ac:dyDescent="0.3">
      <c r="A159" s="96" t="s">
        <v>56</v>
      </c>
      <c r="B159" s="26" t="s">
        <v>221</v>
      </c>
      <c r="C159" s="32">
        <v>1312</v>
      </c>
      <c r="D159" s="44" t="s">
        <v>478</v>
      </c>
      <c r="E159" s="27" t="s">
        <v>479</v>
      </c>
      <c r="F159" s="32" t="s">
        <v>186</v>
      </c>
      <c r="G159" s="44" t="s">
        <v>35</v>
      </c>
      <c r="H159" s="48" t="s">
        <v>36</v>
      </c>
      <c r="I159" s="97" t="s">
        <v>37</v>
      </c>
      <c r="J159" s="28" t="s">
        <v>38</v>
      </c>
      <c r="K159" s="48" t="s">
        <v>39</v>
      </c>
      <c r="L159" s="58"/>
      <c r="M159" s="29"/>
      <c r="N159" s="29"/>
      <c r="O159" s="29"/>
      <c r="P159" s="59">
        <v>1.0000000000000001E-5</v>
      </c>
      <c r="Q159" s="59">
        <v>1.0000000000000001E-5</v>
      </c>
      <c r="R159" s="65" t="s">
        <v>447</v>
      </c>
      <c r="S159" s="69" t="s">
        <v>41</v>
      </c>
      <c r="T159" s="31" t="s">
        <v>42</v>
      </c>
      <c r="U159" s="27" t="s">
        <v>43</v>
      </c>
      <c r="V159" s="27" t="s">
        <v>25</v>
      </c>
      <c r="W159" s="32" t="s">
        <v>448</v>
      </c>
    </row>
    <row r="160" spans="1:23" ht="156.75" x14ac:dyDescent="0.25">
      <c r="A160" s="94" t="s">
        <v>56</v>
      </c>
      <c r="B160" s="18" t="s">
        <v>215</v>
      </c>
      <c r="C160" s="23">
        <v>1169</v>
      </c>
      <c r="D160" s="42" t="s">
        <v>481</v>
      </c>
      <c r="E160" s="147" t="s">
        <v>1225</v>
      </c>
      <c r="F160" s="23" t="s">
        <v>26</v>
      </c>
      <c r="G160" s="42" t="s">
        <v>155</v>
      </c>
      <c r="H160" s="46" t="s">
        <v>39</v>
      </c>
      <c r="I160" s="100" t="s">
        <v>37</v>
      </c>
      <c r="J160" s="20" t="s">
        <v>38</v>
      </c>
      <c r="K160" s="46" t="s">
        <v>39</v>
      </c>
      <c r="L160" s="53"/>
      <c r="M160" s="21"/>
      <c r="N160" s="21"/>
      <c r="O160" s="21"/>
      <c r="P160" s="54"/>
      <c r="Q160" s="54"/>
      <c r="R160" s="194" t="s">
        <v>1225</v>
      </c>
      <c r="S160" s="67" t="s">
        <v>41</v>
      </c>
      <c r="T160" s="22" t="s">
        <v>42</v>
      </c>
      <c r="U160" s="19" t="s">
        <v>43</v>
      </c>
      <c r="V160" s="19" t="s">
        <v>37</v>
      </c>
      <c r="W160" s="23"/>
    </row>
    <row r="161" spans="1:23" ht="57" customHeight="1" x14ac:dyDescent="0.25">
      <c r="A161" s="95" t="s">
        <v>56</v>
      </c>
      <c r="B161" s="24" t="s">
        <v>215</v>
      </c>
      <c r="C161" s="25">
        <v>1169</v>
      </c>
      <c r="D161" s="43" t="s">
        <v>483</v>
      </c>
      <c r="E161" s="1" t="s">
        <v>484</v>
      </c>
      <c r="F161" s="25" t="s">
        <v>31</v>
      </c>
      <c r="G161" s="43" t="s">
        <v>183</v>
      </c>
      <c r="H161" s="47" t="s">
        <v>39</v>
      </c>
      <c r="I161" s="43" t="s">
        <v>30</v>
      </c>
      <c r="J161" s="2" t="s">
        <v>38</v>
      </c>
      <c r="K161" s="47" t="s">
        <v>39</v>
      </c>
      <c r="L161" s="57"/>
      <c r="M161" s="5"/>
      <c r="N161" s="5"/>
      <c r="O161" s="5"/>
      <c r="P161" s="56"/>
      <c r="Q161" s="56"/>
      <c r="R161" s="64" t="s">
        <v>484</v>
      </c>
      <c r="S161" s="68" t="s">
        <v>41</v>
      </c>
      <c r="T161" s="4" t="s">
        <v>42</v>
      </c>
      <c r="U161" s="1" t="s">
        <v>43</v>
      </c>
      <c r="V161" s="1" t="s">
        <v>30</v>
      </c>
      <c r="W161" s="25"/>
    </row>
    <row r="162" spans="1:23" ht="71.25" customHeight="1" x14ac:dyDescent="0.25">
      <c r="A162" s="95" t="s">
        <v>56</v>
      </c>
      <c r="B162" s="24" t="s">
        <v>215</v>
      </c>
      <c r="C162" s="25">
        <v>1169</v>
      </c>
      <c r="D162" s="43" t="s">
        <v>485</v>
      </c>
      <c r="E162" s="1" t="s">
        <v>482</v>
      </c>
      <c r="F162" s="25" t="s">
        <v>31</v>
      </c>
      <c r="G162" s="43" t="s">
        <v>356</v>
      </c>
      <c r="H162" s="47" t="s">
        <v>39</v>
      </c>
      <c r="I162" s="43" t="s">
        <v>28</v>
      </c>
      <c r="J162" s="2" t="s">
        <v>38</v>
      </c>
      <c r="K162" s="47" t="s">
        <v>39</v>
      </c>
      <c r="L162" s="57"/>
      <c r="M162" s="5"/>
      <c r="N162" s="5"/>
      <c r="O162" s="5"/>
      <c r="P162" s="56"/>
      <c r="Q162" s="56"/>
      <c r="R162" s="64" t="s">
        <v>482</v>
      </c>
      <c r="S162" s="68" t="s">
        <v>41</v>
      </c>
      <c r="T162" s="4" t="s">
        <v>42</v>
      </c>
      <c r="U162" s="1" t="s">
        <v>43</v>
      </c>
      <c r="V162" s="1" t="s">
        <v>28</v>
      </c>
      <c r="W162" s="25"/>
    </row>
    <row r="163" spans="1:23" ht="71.25" customHeight="1" x14ac:dyDescent="0.25">
      <c r="A163" s="95" t="s">
        <v>56</v>
      </c>
      <c r="B163" s="24" t="s">
        <v>215</v>
      </c>
      <c r="C163" s="25">
        <v>1169</v>
      </c>
      <c r="D163" s="43" t="s">
        <v>485</v>
      </c>
      <c r="E163" s="1" t="s">
        <v>482</v>
      </c>
      <c r="F163" s="25" t="s">
        <v>31</v>
      </c>
      <c r="G163" s="43" t="s">
        <v>161</v>
      </c>
      <c r="H163" s="47" t="s">
        <v>39</v>
      </c>
      <c r="I163" s="43" t="s">
        <v>28</v>
      </c>
      <c r="J163" s="2" t="s">
        <v>38</v>
      </c>
      <c r="K163" s="47" t="s">
        <v>39</v>
      </c>
      <c r="L163" s="57"/>
      <c r="M163" s="5"/>
      <c r="N163" s="5"/>
      <c r="O163" s="5"/>
      <c r="P163" s="56"/>
      <c r="Q163" s="56"/>
      <c r="R163" s="64" t="s">
        <v>482</v>
      </c>
      <c r="S163" s="68" t="s">
        <v>41</v>
      </c>
      <c r="T163" s="4" t="s">
        <v>42</v>
      </c>
      <c r="U163" s="1" t="s">
        <v>43</v>
      </c>
      <c r="V163" s="1" t="s">
        <v>28</v>
      </c>
      <c r="W163" s="25"/>
    </row>
    <row r="164" spans="1:23" ht="71.25" customHeight="1" x14ac:dyDescent="0.25">
      <c r="A164" s="95" t="s">
        <v>56</v>
      </c>
      <c r="B164" s="24" t="s">
        <v>215</v>
      </c>
      <c r="C164" s="25">
        <v>1169</v>
      </c>
      <c r="D164" s="43" t="s">
        <v>485</v>
      </c>
      <c r="E164" s="1" t="s">
        <v>482</v>
      </c>
      <c r="F164" s="25" t="s">
        <v>31</v>
      </c>
      <c r="G164" s="43" t="s">
        <v>27</v>
      </c>
      <c r="H164" s="47" t="s">
        <v>39</v>
      </c>
      <c r="I164" s="43" t="s">
        <v>28</v>
      </c>
      <c r="J164" s="2" t="s">
        <v>38</v>
      </c>
      <c r="K164" s="47" t="s">
        <v>39</v>
      </c>
      <c r="L164" s="57"/>
      <c r="M164" s="5"/>
      <c r="N164" s="5"/>
      <c r="O164" s="5"/>
      <c r="P164" s="56"/>
      <c r="Q164" s="56"/>
      <c r="R164" s="64" t="s">
        <v>482</v>
      </c>
      <c r="S164" s="68" t="s">
        <v>41</v>
      </c>
      <c r="T164" s="4" t="s">
        <v>42</v>
      </c>
      <c r="U164" s="1" t="s">
        <v>43</v>
      </c>
      <c r="V164" s="1" t="s">
        <v>28</v>
      </c>
      <c r="W164" s="25"/>
    </row>
    <row r="165" spans="1:23" ht="71.25" customHeight="1" x14ac:dyDescent="0.25">
      <c r="A165" s="95" t="s">
        <v>56</v>
      </c>
      <c r="B165" s="24" t="s">
        <v>215</v>
      </c>
      <c r="C165" s="25">
        <v>1169</v>
      </c>
      <c r="D165" s="43" t="s">
        <v>486</v>
      </c>
      <c r="E165" s="1" t="s">
        <v>482</v>
      </c>
      <c r="F165" s="25" t="s">
        <v>31</v>
      </c>
      <c r="G165" s="43" t="s">
        <v>29</v>
      </c>
      <c r="H165" s="47" t="s">
        <v>39</v>
      </c>
      <c r="I165" s="43" t="s">
        <v>28</v>
      </c>
      <c r="J165" s="2" t="s">
        <v>38</v>
      </c>
      <c r="K165" s="47" t="s">
        <v>39</v>
      </c>
      <c r="L165" s="57"/>
      <c r="M165" s="5"/>
      <c r="N165" s="5"/>
      <c r="O165" s="5"/>
      <c r="P165" s="56"/>
      <c r="Q165" s="56"/>
      <c r="R165" s="64" t="s">
        <v>482</v>
      </c>
      <c r="S165" s="68" t="s">
        <v>41</v>
      </c>
      <c r="T165" s="4" t="s">
        <v>42</v>
      </c>
      <c r="U165" s="1" t="s">
        <v>43</v>
      </c>
      <c r="V165" s="1" t="s">
        <v>28</v>
      </c>
      <c r="W165" s="25"/>
    </row>
    <row r="166" spans="1:23" ht="71.25" customHeight="1" x14ac:dyDescent="0.25">
      <c r="A166" s="95" t="s">
        <v>56</v>
      </c>
      <c r="B166" s="24" t="s">
        <v>215</v>
      </c>
      <c r="C166" s="25">
        <v>1169</v>
      </c>
      <c r="D166" s="43" t="s">
        <v>487</v>
      </c>
      <c r="E166" s="1" t="s">
        <v>482</v>
      </c>
      <c r="F166" s="25" t="s">
        <v>26</v>
      </c>
      <c r="G166" s="43" t="s">
        <v>496</v>
      </c>
      <c r="H166" s="47" t="s">
        <v>39</v>
      </c>
      <c r="I166" s="43" t="s">
        <v>28</v>
      </c>
      <c r="J166" s="2" t="s">
        <v>38</v>
      </c>
      <c r="K166" s="47" t="s">
        <v>39</v>
      </c>
      <c r="L166" s="57"/>
      <c r="M166" s="5"/>
      <c r="N166" s="5"/>
      <c r="O166" s="5"/>
      <c r="P166" s="56"/>
      <c r="Q166" s="56"/>
      <c r="R166" s="64" t="s">
        <v>482</v>
      </c>
      <c r="S166" s="68" t="s">
        <v>41</v>
      </c>
      <c r="T166" s="4" t="s">
        <v>42</v>
      </c>
      <c r="U166" s="1" t="s">
        <v>43</v>
      </c>
      <c r="V166" s="1" t="s">
        <v>28</v>
      </c>
      <c r="W166" s="25"/>
    </row>
    <row r="167" spans="1:23" ht="57" customHeight="1" x14ac:dyDescent="0.25">
      <c r="A167" s="95" t="s">
        <v>56</v>
      </c>
      <c r="B167" s="24" t="s">
        <v>215</v>
      </c>
      <c r="C167" s="25">
        <v>1169</v>
      </c>
      <c r="D167" s="43" t="s">
        <v>488</v>
      </c>
      <c r="E167" s="1" t="s">
        <v>489</v>
      </c>
      <c r="F167" s="25" t="s">
        <v>26</v>
      </c>
      <c r="G167" s="43" t="s">
        <v>497</v>
      </c>
      <c r="H167" s="47" t="s">
        <v>39</v>
      </c>
      <c r="I167" s="43" t="s">
        <v>245</v>
      </c>
      <c r="J167" s="2" t="s">
        <v>38</v>
      </c>
      <c r="K167" s="47" t="s">
        <v>39</v>
      </c>
      <c r="L167" s="57"/>
      <c r="M167" s="5"/>
      <c r="N167" s="5"/>
      <c r="O167" s="5"/>
      <c r="P167" s="56"/>
      <c r="Q167" s="56"/>
      <c r="R167" s="64" t="s">
        <v>489</v>
      </c>
      <c r="S167" s="68" t="s">
        <v>41</v>
      </c>
      <c r="T167" s="4" t="s">
        <v>42</v>
      </c>
      <c r="U167" s="1" t="s">
        <v>43</v>
      </c>
      <c r="V167" s="1" t="s">
        <v>245</v>
      </c>
      <c r="W167" s="25"/>
    </row>
    <row r="168" spans="1:23" ht="71.25" customHeight="1" x14ac:dyDescent="0.25">
      <c r="A168" s="95" t="s">
        <v>56</v>
      </c>
      <c r="B168" s="24" t="s">
        <v>215</v>
      </c>
      <c r="C168" s="25">
        <v>1169</v>
      </c>
      <c r="D168" s="43" t="s">
        <v>490</v>
      </c>
      <c r="E168" s="1" t="s">
        <v>482</v>
      </c>
      <c r="F168" s="25" t="s">
        <v>26</v>
      </c>
      <c r="G168" s="43" t="s">
        <v>140</v>
      </c>
      <c r="H168" s="47" t="s">
        <v>39</v>
      </c>
      <c r="I168" s="43" t="s">
        <v>28</v>
      </c>
      <c r="J168" s="2" t="s">
        <v>38</v>
      </c>
      <c r="K168" s="47" t="s">
        <v>39</v>
      </c>
      <c r="L168" s="57"/>
      <c r="M168" s="5"/>
      <c r="N168" s="5"/>
      <c r="O168" s="5"/>
      <c r="P168" s="56"/>
      <c r="Q168" s="56"/>
      <c r="R168" s="64" t="s">
        <v>482</v>
      </c>
      <c r="S168" s="68" t="s">
        <v>41</v>
      </c>
      <c r="T168" s="4" t="s">
        <v>42</v>
      </c>
      <c r="U168" s="1" t="s">
        <v>43</v>
      </c>
      <c r="V168" s="1" t="s">
        <v>28</v>
      </c>
      <c r="W168" s="25"/>
    </row>
    <row r="169" spans="1:23" ht="57" customHeight="1" x14ac:dyDescent="0.25">
      <c r="A169" s="95" t="s">
        <v>56</v>
      </c>
      <c r="B169" s="24" t="s">
        <v>215</v>
      </c>
      <c r="C169" s="25">
        <v>1169</v>
      </c>
      <c r="D169" s="43" t="s">
        <v>491</v>
      </c>
      <c r="E169" s="1" t="s">
        <v>492</v>
      </c>
      <c r="F169" s="25" t="s">
        <v>31</v>
      </c>
      <c r="G169" s="43" t="s">
        <v>173</v>
      </c>
      <c r="H169" s="47" t="s">
        <v>36</v>
      </c>
      <c r="I169" s="43" t="s">
        <v>24</v>
      </c>
      <c r="J169" s="2" t="s">
        <v>11</v>
      </c>
      <c r="K169" s="47" t="s">
        <v>120</v>
      </c>
      <c r="L169" s="57"/>
      <c r="M169" s="3">
        <v>2.2672300000000001</v>
      </c>
      <c r="N169" s="3">
        <v>2.2672300000000001</v>
      </c>
      <c r="O169" s="3">
        <v>0</v>
      </c>
      <c r="P169" s="56">
        <v>2.2672300000000001</v>
      </c>
      <c r="Q169" s="56">
        <v>2.2672300000000001</v>
      </c>
      <c r="R169" s="64" t="s">
        <v>492</v>
      </c>
      <c r="S169" s="68" t="s">
        <v>41</v>
      </c>
      <c r="T169" s="4" t="s">
        <v>42</v>
      </c>
      <c r="U169" s="1" t="s">
        <v>43</v>
      </c>
      <c r="V169" s="1" t="s">
        <v>24</v>
      </c>
      <c r="W169" s="25"/>
    </row>
    <row r="170" spans="1:23" ht="57" customHeight="1" x14ac:dyDescent="0.25">
      <c r="A170" s="95" t="s">
        <v>56</v>
      </c>
      <c r="B170" s="24" t="s">
        <v>215</v>
      </c>
      <c r="C170" s="25">
        <v>1169</v>
      </c>
      <c r="D170" s="43" t="s">
        <v>493</v>
      </c>
      <c r="E170" s="1" t="s">
        <v>1226</v>
      </c>
      <c r="F170" s="25" t="s">
        <v>31</v>
      </c>
      <c r="G170" s="43" t="s">
        <v>35</v>
      </c>
      <c r="H170" s="47" t="s">
        <v>36</v>
      </c>
      <c r="I170" s="99" t="s">
        <v>24</v>
      </c>
      <c r="J170" s="2" t="s">
        <v>11</v>
      </c>
      <c r="K170" s="47" t="s">
        <v>120</v>
      </c>
      <c r="L170" s="57"/>
      <c r="M170" s="3">
        <v>2.3723200000000002</v>
      </c>
      <c r="N170" s="3">
        <v>2.3723200000000002</v>
      </c>
      <c r="O170" s="3">
        <v>0</v>
      </c>
      <c r="P170" s="56">
        <v>2.3723200000000002</v>
      </c>
      <c r="Q170" s="56">
        <v>2.3723200000000002</v>
      </c>
      <c r="R170" s="64" t="s">
        <v>492</v>
      </c>
      <c r="S170" s="68" t="s">
        <v>41</v>
      </c>
      <c r="T170" s="4" t="s">
        <v>42</v>
      </c>
      <c r="U170" s="1" t="s">
        <v>43</v>
      </c>
      <c r="V170" s="1" t="s">
        <v>24</v>
      </c>
      <c r="W170" s="25"/>
    </row>
    <row r="171" spans="1:23" ht="57" customHeight="1" x14ac:dyDescent="0.25">
      <c r="A171" s="95" t="s">
        <v>56</v>
      </c>
      <c r="B171" s="24" t="s">
        <v>215</v>
      </c>
      <c r="C171" s="25">
        <v>1169</v>
      </c>
      <c r="D171" s="43" t="s">
        <v>494</v>
      </c>
      <c r="E171" s="1" t="s">
        <v>492</v>
      </c>
      <c r="F171" s="25" t="s">
        <v>31</v>
      </c>
      <c r="G171" s="43" t="s">
        <v>372</v>
      </c>
      <c r="H171" s="47" t="s">
        <v>36</v>
      </c>
      <c r="I171" s="43" t="s">
        <v>24</v>
      </c>
      <c r="J171" s="2" t="s">
        <v>11</v>
      </c>
      <c r="K171" s="47" t="s">
        <v>120</v>
      </c>
      <c r="L171" s="57"/>
      <c r="M171" s="3">
        <v>0.76822000000000001</v>
      </c>
      <c r="N171" s="3">
        <v>0.76822000000000001</v>
      </c>
      <c r="O171" s="3">
        <v>0</v>
      </c>
      <c r="P171" s="56">
        <v>0.76822000000000001</v>
      </c>
      <c r="Q171" s="56">
        <v>0.76822000000000001</v>
      </c>
      <c r="R171" s="64" t="s">
        <v>492</v>
      </c>
      <c r="S171" s="68" t="s">
        <v>41</v>
      </c>
      <c r="T171" s="4" t="s">
        <v>42</v>
      </c>
      <c r="U171" s="1" t="s">
        <v>43</v>
      </c>
      <c r="V171" s="1" t="s">
        <v>24</v>
      </c>
      <c r="W171" s="25"/>
    </row>
    <row r="172" spans="1:23" ht="57.75" customHeight="1" thickBot="1" x14ac:dyDescent="0.3">
      <c r="A172" s="96" t="s">
        <v>56</v>
      </c>
      <c r="B172" s="26" t="s">
        <v>215</v>
      </c>
      <c r="C172" s="32">
        <v>1169</v>
      </c>
      <c r="D172" s="44" t="s">
        <v>495</v>
      </c>
      <c r="E172" s="27" t="s">
        <v>492</v>
      </c>
      <c r="F172" s="32" t="s">
        <v>31</v>
      </c>
      <c r="G172" s="44" t="s">
        <v>498</v>
      </c>
      <c r="H172" s="48" t="s">
        <v>36</v>
      </c>
      <c r="I172" s="97" t="s">
        <v>397</v>
      </c>
      <c r="J172" s="28" t="s">
        <v>11</v>
      </c>
      <c r="K172" s="48" t="s">
        <v>49</v>
      </c>
      <c r="L172" s="58"/>
      <c r="M172" s="30">
        <v>7.0000000000000007E-2</v>
      </c>
      <c r="N172" s="30">
        <v>7.0000000000000007E-2</v>
      </c>
      <c r="O172" s="30">
        <v>0</v>
      </c>
      <c r="P172" s="59">
        <v>7.0000000000000007E-2</v>
      </c>
      <c r="Q172" s="59">
        <v>7.0000000000000007E-2</v>
      </c>
      <c r="R172" s="65" t="s">
        <v>492</v>
      </c>
      <c r="S172" s="69" t="s">
        <v>41</v>
      </c>
      <c r="T172" s="31" t="s">
        <v>42</v>
      </c>
      <c r="U172" s="27" t="s">
        <v>43</v>
      </c>
      <c r="V172" s="27" t="s">
        <v>24</v>
      </c>
      <c r="W172" s="32"/>
    </row>
    <row r="173" spans="1:23" ht="42.75" customHeight="1" x14ac:dyDescent="0.25">
      <c r="A173" s="94" t="s">
        <v>56</v>
      </c>
      <c r="B173" s="18" t="s">
        <v>208</v>
      </c>
      <c r="C173" s="23">
        <v>1176</v>
      </c>
      <c r="D173" s="42" t="s">
        <v>499</v>
      </c>
      <c r="E173" s="19" t="s">
        <v>500</v>
      </c>
      <c r="F173" s="23" t="s">
        <v>22</v>
      </c>
      <c r="G173" s="42" t="s">
        <v>23</v>
      </c>
      <c r="H173" s="46" t="s">
        <v>36</v>
      </c>
      <c r="I173" s="42" t="s">
        <v>24</v>
      </c>
      <c r="J173" s="20" t="s">
        <v>11</v>
      </c>
      <c r="K173" s="46" t="s">
        <v>120</v>
      </c>
      <c r="L173" s="53"/>
      <c r="M173" s="98">
        <v>3.76</v>
      </c>
      <c r="N173" s="98">
        <v>3.76</v>
      </c>
      <c r="O173" s="98">
        <v>3.76</v>
      </c>
      <c r="P173" s="54"/>
      <c r="Q173" s="54"/>
      <c r="R173" s="63" t="s">
        <v>501</v>
      </c>
      <c r="S173" s="67" t="s">
        <v>41</v>
      </c>
      <c r="T173" s="22" t="s">
        <v>42</v>
      </c>
      <c r="U173" s="19" t="s">
        <v>43</v>
      </c>
      <c r="V173" s="19">
        <v>7090000</v>
      </c>
      <c r="W173" s="23"/>
    </row>
    <row r="174" spans="1:23" ht="42.75" customHeight="1" x14ac:dyDescent="0.25">
      <c r="A174" s="95" t="s">
        <v>56</v>
      </c>
      <c r="B174" s="24" t="s">
        <v>208</v>
      </c>
      <c r="C174" s="25">
        <v>1176</v>
      </c>
      <c r="D174" s="43" t="s">
        <v>502</v>
      </c>
      <c r="E174" s="1" t="s">
        <v>503</v>
      </c>
      <c r="F174" s="25" t="s">
        <v>31</v>
      </c>
      <c r="G174" s="43" t="s">
        <v>23</v>
      </c>
      <c r="H174" s="47" t="s">
        <v>36</v>
      </c>
      <c r="I174" s="43" t="s">
        <v>24</v>
      </c>
      <c r="J174" s="2" t="s">
        <v>11</v>
      </c>
      <c r="K174" s="47" t="s">
        <v>120</v>
      </c>
      <c r="L174" s="57"/>
      <c r="M174" s="3">
        <v>0.39</v>
      </c>
      <c r="N174" s="3">
        <v>0.39</v>
      </c>
      <c r="O174" s="3">
        <v>0.39</v>
      </c>
      <c r="P174" s="56"/>
      <c r="Q174" s="56"/>
      <c r="R174" s="64" t="s">
        <v>504</v>
      </c>
      <c r="S174" s="68" t="s">
        <v>41</v>
      </c>
      <c r="T174" s="4" t="s">
        <v>42</v>
      </c>
      <c r="U174" s="1" t="s">
        <v>43</v>
      </c>
      <c r="V174" s="1">
        <v>7090000</v>
      </c>
      <c r="W174" s="25"/>
    </row>
    <row r="175" spans="1:23" ht="42.75" customHeight="1" x14ac:dyDescent="0.25">
      <c r="A175" s="95" t="s">
        <v>56</v>
      </c>
      <c r="B175" s="24" t="s">
        <v>208</v>
      </c>
      <c r="C175" s="25">
        <v>1176</v>
      </c>
      <c r="D175" s="43" t="s">
        <v>505</v>
      </c>
      <c r="E175" s="1" t="s">
        <v>1228</v>
      </c>
      <c r="F175" s="25" t="s">
        <v>31</v>
      </c>
      <c r="G175" s="43" t="s">
        <v>23</v>
      </c>
      <c r="H175" s="47" t="s">
        <v>36</v>
      </c>
      <c r="I175" s="99" t="s">
        <v>24</v>
      </c>
      <c r="J175" s="2" t="s">
        <v>11</v>
      </c>
      <c r="K175" s="47" t="s">
        <v>120</v>
      </c>
      <c r="L175" s="57"/>
      <c r="M175" s="3">
        <v>0.76</v>
      </c>
      <c r="N175" s="3">
        <v>0.76</v>
      </c>
      <c r="O175" s="3">
        <v>0.76</v>
      </c>
      <c r="P175" s="56"/>
      <c r="Q175" s="56"/>
      <c r="R175" s="64" t="s">
        <v>506</v>
      </c>
      <c r="S175" s="68" t="s">
        <v>41</v>
      </c>
      <c r="T175" s="4" t="s">
        <v>42</v>
      </c>
      <c r="U175" s="1" t="s">
        <v>43</v>
      </c>
      <c r="V175" s="1">
        <v>7090000</v>
      </c>
      <c r="W175" s="25"/>
    </row>
    <row r="176" spans="1:23" ht="28.5" customHeight="1" x14ac:dyDescent="0.25">
      <c r="A176" s="95" t="s">
        <v>56</v>
      </c>
      <c r="B176" s="24" t="s">
        <v>208</v>
      </c>
      <c r="C176" s="25">
        <v>1176</v>
      </c>
      <c r="D176" s="43" t="s">
        <v>507</v>
      </c>
      <c r="E176" s="1" t="s">
        <v>508</v>
      </c>
      <c r="F176" s="25" t="s">
        <v>26</v>
      </c>
      <c r="G176" s="43" t="s">
        <v>23</v>
      </c>
      <c r="H176" s="47" t="s">
        <v>36</v>
      </c>
      <c r="I176" s="43" t="s">
        <v>37</v>
      </c>
      <c r="J176" s="2" t="s">
        <v>38</v>
      </c>
      <c r="K176" s="47" t="s">
        <v>39</v>
      </c>
      <c r="L176" s="57"/>
      <c r="M176" s="5"/>
      <c r="N176" s="5"/>
      <c r="O176" s="5"/>
      <c r="P176" s="56"/>
      <c r="Q176" s="56">
        <v>0.6</v>
      </c>
      <c r="R176" s="64" t="s">
        <v>509</v>
      </c>
      <c r="S176" s="68" t="s">
        <v>41</v>
      </c>
      <c r="T176" s="4" t="s">
        <v>42</v>
      </c>
      <c r="U176" s="1" t="s">
        <v>43</v>
      </c>
      <c r="V176" s="1">
        <v>7090000</v>
      </c>
      <c r="W176" s="25"/>
    </row>
    <row r="177" spans="1:23" ht="99.75" customHeight="1" x14ac:dyDescent="0.25">
      <c r="A177" s="95" t="s">
        <v>56</v>
      </c>
      <c r="B177" s="24" t="s">
        <v>208</v>
      </c>
      <c r="C177" s="25">
        <v>1176</v>
      </c>
      <c r="D177" s="43" t="s">
        <v>510</v>
      </c>
      <c r="E177" s="1" t="s">
        <v>511</v>
      </c>
      <c r="F177" s="25" t="s">
        <v>22</v>
      </c>
      <c r="G177" s="43" t="s">
        <v>23</v>
      </c>
      <c r="H177" s="47" t="s">
        <v>36</v>
      </c>
      <c r="I177" s="43" t="s">
        <v>24</v>
      </c>
      <c r="J177" s="2" t="s">
        <v>11</v>
      </c>
      <c r="K177" s="47" t="s">
        <v>120</v>
      </c>
      <c r="L177" s="57"/>
      <c r="M177" s="3">
        <v>0.3</v>
      </c>
      <c r="N177" s="3">
        <v>0.3</v>
      </c>
      <c r="O177" s="3">
        <v>0.3</v>
      </c>
      <c r="P177" s="56"/>
      <c r="Q177" s="56"/>
      <c r="R177" s="64" t="s">
        <v>512</v>
      </c>
      <c r="S177" s="68" t="s">
        <v>41</v>
      </c>
      <c r="T177" s="4" t="s">
        <v>42</v>
      </c>
      <c r="U177" s="1" t="s">
        <v>43</v>
      </c>
      <c r="V177" s="1">
        <v>7090000</v>
      </c>
      <c r="W177" s="25"/>
    </row>
    <row r="178" spans="1:23" ht="42.75" customHeight="1" x14ac:dyDescent="0.25">
      <c r="A178" s="95" t="s">
        <v>56</v>
      </c>
      <c r="B178" s="24" t="s">
        <v>208</v>
      </c>
      <c r="C178" s="25">
        <v>1176</v>
      </c>
      <c r="D178" s="43" t="s">
        <v>513</v>
      </c>
      <c r="E178" s="1" t="s">
        <v>1223</v>
      </c>
      <c r="F178" s="25" t="s">
        <v>22</v>
      </c>
      <c r="G178" s="43" t="s">
        <v>23</v>
      </c>
      <c r="H178" s="47" t="s">
        <v>36</v>
      </c>
      <c r="I178" s="43" t="s">
        <v>24</v>
      </c>
      <c r="J178" s="2" t="s">
        <v>11</v>
      </c>
      <c r="K178" s="47" t="s">
        <v>120</v>
      </c>
      <c r="L178" s="57"/>
      <c r="M178" s="3">
        <v>0.18</v>
      </c>
      <c r="N178" s="3">
        <v>0.18</v>
      </c>
      <c r="O178" s="3">
        <v>0.18</v>
      </c>
      <c r="P178" s="56"/>
      <c r="Q178" s="56"/>
      <c r="R178" s="64" t="s">
        <v>1224</v>
      </c>
      <c r="S178" s="68" t="s">
        <v>41</v>
      </c>
      <c r="T178" s="4" t="s">
        <v>42</v>
      </c>
      <c r="U178" s="1" t="s">
        <v>43</v>
      </c>
      <c r="V178" s="1">
        <v>7090000</v>
      </c>
      <c r="W178" s="25"/>
    </row>
    <row r="179" spans="1:23" ht="128.25" customHeight="1" x14ac:dyDescent="0.25">
      <c r="A179" s="95" t="s">
        <v>56</v>
      </c>
      <c r="B179" s="24" t="s">
        <v>208</v>
      </c>
      <c r="C179" s="25">
        <v>1176</v>
      </c>
      <c r="D179" s="43" t="s">
        <v>514</v>
      </c>
      <c r="E179" s="1" t="s">
        <v>515</v>
      </c>
      <c r="F179" s="25" t="s">
        <v>22</v>
      </c>
      <c r="G179" s="43" t="s">
        <v>47</v>
      </c>
      <c r="H179" s="47" t="s">
        <v>36</v>
      </c>
      <c r="I179" s="43" t="s">
        <v>117</v>
      </c>
      <c r="J179" s="2" t="s">
        <v>10</v>
      </c>
      <c r="K179" s="47" t="s">
        <v>120</v>
      </c>
      <c r="L179" s="55">
        <v>3.25</v>
      </c>
      <c r="M179" s="5"/>
      <c r="N179" s="5"/>
      <c r="O179" s="5"/>
      <c r="P179" s="56">
        <v>3.25</v>
      </c>
      <c r="Q179" s="56">
        <v>3.25</v>
      </c>
      <c r="R179" s="64" t="s">
        <v>516</v>
      </c>
      <c r="S179" s="68" t="s">
        <v>41</v>
      </c>
      <c r="T179" s="4" t="s">
        <v>42</v>
      </c>
      <c r="U179" s="1" t="s">
        <v>43</v>
      </c>
      <c r="V179" s="1">
        <v>7072001</v>
      </c>
      <c r="W179" s="25"/>
    </row>
    <row r="180" spans="1:23" ht="128.25" customHeight="1" x14ac:dyDescent="0.25">
      <c r="A180" s="95" t="s">
        <v>56</v>
      </c>
      <c r="B180" s="24" t="s">
        <v>208</v>
      </c>
      <c r="C180" s="25">
        <v>1176</v>
      </c>
      <c r="D180" s="43" t="s">
        <v>517</v>
      </c>
      <c r="E180" s="1" t="s">
        <v>1229</v>
      </c>
      <c r="F180" s="25" t="s">
        <v>31</v>
      </c>
      <c r="G180" s="43" t="s">
        <v>47</v>
      </c>
      <c r="H180" s="47" t="s">
        <v>36</v>
      </c>
      <c r="I180" s="99" t="s">
        <v>117</v>
      </c>
      <c r="J180" s="2" t="s">
        <v>10</v>
      </c>
      <c r="K180" s="47" t="s">
        <v>120</v>
      </c>
      <c r="L180" s="55">
        <v>4.04</v>
      </c>
      <c r="M180" s="5"/>
      <c r="N180" s="5"/>
      <c r="O180" s="5"/>
      <c r="P180" s="56">
        <v>4.04</v>
      </c>
      <c r="Q180" s="56">
        <v>4.04</v>
      </c>
      <c r="R180" s="64" t="s">
        <v>518</v>
      </c>
      <c r="S180" s="68" t="s">
        <v>41</v>
      </c>
      <c r="T180" s="4" t="s">
        <v>42</v>
      </c>
      <c r="U180" s="1" t="s">
        <v>43</v>
      </c>
      <c r="V180" s="1">
        <v>7072001</v>
      </c>
      <c r="W180" s="25"/>
    </row>
    <row r="181" spans="1:23" ht="128.25" customHeight="1" x14ac:dyDescent="0.25">
      <c r="A181" s="95" t="s">
        <v>56</v>
      </c>
      <c r="B181" s="24" t="s">
        <v>208</v>
      </c>
      <c r="C181" s="25">
        <v>1176</v>
      </c>
      <c r="D181" s="43" t="s">
        <v>519</v>
      </c>
      <c r="E181" s="1" t="s">
        <v>520</v>
      </c>
      <c r="F181" s="25" t="s">
        <v>31</v>
      </c>
      <c r="G181" s="43" t="s">
        <v>47</v>
      </c>
      <c r="H181" s="47" t="s">
        <v>36</v>
      </c>
      <c r="I181" s="43" t="s">
        <v>117</v>
      </c>
      <c r="J181" s="2" t="s">
        <v>10</v>
      </c>
      <c r="K181" s="47" t="s">
        <v>120</v>
      </c>
      <c r="L181" s="55">
        <v>0.85</v>
      </c>
      <c r="M181" s="5"/>
      <c r="N181" s="5"/>
      <c r="O181" s="5"/>
      <c r="P181" s="56">
        <v>0.85</v>
      </c>
      <c r="Q181" s="56">
        <v>0.85</v>
      </c>
      <c r="R181" s="64" t="s">
        <v>521</v>
      </c>
      <c r="S181" s="68" t="s">
        <v>41</v>
      </c>
      <c r="T181" s="4" t="s">
        <v>42</v>
      </c>
      <c r="U181" s="1" t="s">
        <v>43</v>
      </c>
      <c r="V181" s="1">
        <v>7072001</v>
      </c>
      <c r="W181" s="25"/>
    </row>
    <row r="182" spans="1:23" ht="171" customHeight="1" x14ac:dyDescent="0.25">
      <c r="A182" s="95" t="s">
        <v>56</v>
      </c>
      <c r="B182" s="24" t="s">
        <v>208</v>
      </c>
      <c r="C182" s="25">
        <v>1176</v>
      </c>
      <c r="D182" s="43" t="s">
        <v>522</v>
      </c>
      <c r="E182" s="1" t="s">
        <v>523</v>
      </c>
      <c r="F182" s="25" t="s">
        <v>186</v>
      </c>
      <c r="G182" s="43" t="s">
        <v>196</v>
      </c>
      <c r="H182" s="47" t="s">
        <v>36</v>
      </c>
      <c r="I182" s="43" t="s">
        <v>24</v>
      </c>
      <c r="J182" s="2" t="s">
        <v>11</v>
      </c>
      <c r="K182" s="47" t="s">
        <v>120</v>
      </c>
      <c r="L182" s="57"/>
      <c r="M182" s="3">
        <v>0.19</v>
      </c>
      <c r="N182" s="3">
        <v>0.19</v>
      </c>
      <c r="O182" s="3">
        <v>0.19</v>
      </c>
      <c r="P182" s="56"/>
      <c r="Q182" s="56"/>
      <c r="R182" s="64" t="s">
        <v>524</v>
      </c>
      <c r="S182" s="68" t="s">
        <v>41</v>
      </c>
      <c r="T182" s="4" t="s">
        <v>42</v>
      </c>
      <c r="U182" s="1" t="s">
        <v>43</v>
      </c>
      <c r="V182" s="1" t="s">
        <v>25</v>
      </c>
      <c r="W182" s="25" t="s">
        <v>525</v>
      </c>
    </row>
    <row r="183" spans="1:23" ht="171" customHeight="1" x14ac:dyDescent="0.25">
      <c r="A183" s="95" t="s">
        <v>56</v>
      </c>
      <c r="B183" s="24" t="s">
        <v>208</v>
      </c>
      <c r="C183" s="25">
        <v>1176</v>
      </c>
      <c r="D183" s="43" t="s">
        <v>526</v>
      </c>
      <c r="E183" s="1" t="s">
        <v>527</v>
      </c>
      <c r="F183" s="25" t="s">
        <v>22</v>
      </c>
      <c r="G183" s="43" t="s">
        <v>196</v>
      </c>
      <c r="H183" s="47" t="s">
        <v>36</v>
      </c>
      <c r="I183" s="43" t="s">
        <v>24</v>
      </c>
      <c r="J183" s="2" t="s">
        <v>11</v>
      </c>
      <c r="K183" s="47" t="s">
        <v>120</v>
      </c>
      <c r="L183" s="57"/>
      <c r="M183" s="3">
        <v>2.84</v>
      </c>
      <c r="N183" s="3">
        <v>2.84</v>
      </c>
      <c r="O183" s="3">
        <v>2.84</v>
      </c>
      <c r="P183" s="56"/>
      <c r="Q183" s="56"/>
      <c r="R183" s="64" t="s">
        <v>528</v>
      </c>
      <c r="S183" s="68" t="s">
        <v>41</v>
      </c>
      <c r="T183" s="4" t="s">
        <v>42</v>
      </c>
      <c r="U183" s="1" t="s">
        <v>43</v>
      </c>
      <c r="V183" s="1" t="s">
        <v>25</v>
      </c>
      <c r="W183" s="25" t="s">
        <v>525</v>
      </c>
    </row>
    <row r="184" spans="1:23" ht="171" customHeight="1" x14ac:dyDescent="0.25">
      <c r="A184" s="95" t="s">
        <v>56</v>
      </c>
      <c r="B184" s="24" t="s">
        <v>208</v>
      </c>
      <c r="C184" s="25">
        <v>1176</v>
      </c>
      <c r="D184" s="43" t="s">
        <v>529</v>
      </c>
      <c r="E184" s="1" t="s">
        <v>530</v>
      </c>
      <c r="F184" s="25" t="s">
        <v>22</v>
      </c>
      <c r="G184" s="43" t="s">
        <v>498</v>
      </c>
      <c r="H184" s="47" t="s">
        <v>36</v>
      </c>
      <c r="I184" s="99" t="s">
        <v>397</v>
      </c>
      <c r="J184" s="2" t="s">
        <v>11</v>
      </c>
      <c r="K184" s="47" t="s">
        <v>49</v>
      </c>
      <c r="L184" s="57"/>
      <c r="M184" s="3">
        <v>0.06</v>
      </c>
      <c r="N184" s="3">
        <v>0.06</v>
      </c>
      <c r="O184" s="3">
        <v>0.06</v>
      </c>
      <c r="P184" s="56"/>
      <c r="Q184" s="56"/>
      <c r="R184" s="64" t="s">
        <v>531</v>
      </c>
      <c r="S184" s="68" t="s">
        <v>41</v>
      </c>
      <c r="T184" s="4" t="s">
        <v>42</v>
      </c>
      <c r="U184" s="1" t="s">
        <v>43</v>
      </c>
      <c r="V184" s="1" t="s">
        <v>25</v>
      </c>
      <c r="W184" s="25" t="s">
        <v>525</v>
      </c>
    </row>
    <row r="185" spans="1:23" ht="57" customHeight="1" x14ac:dyDescent="0.25">
      <c r="A185" s="95" t="s">
        <v>56</v>
      </c>
      <c r="B185" s="24" t="s">
        <v>208</v>
      </c>
      <c r="C185" s="25">
        <v>1176</v>
      </c>
      <c r="D185" s="43" t="s">
        <v>532</v>
      </c>
      <c r="E185" s="1" t="s">
        <v>533</v>
      </c>
      <c r="F185" s="25" t="s">
        <v>26</v>
      </c>
      <c r="G185" s="43" t="s">
        <v>497</v>
      </c>
      <c r="H185" s="47" t="s">
        <v>39</v>
      </c>
      <c r="I185" s="43" t="s">
        <v>245</v>
      </c>
      <c r="J185" s="2" t="s">
        <v>38</v>
      </c>
      <c r="K185" s="47" t="s">
        <v>39</v>
      </c>
      <c r="L185" s="57"/>
      <c r="M185" s="5"/>
      <c r="N185" s="5"/>
      <c r="O185" s="5"/>
      <c r="P185" s="56"/>
      <c r="Q185" s="56"/>
      <c r="R185" s="64" t="s">
        <v>534</v>
      </c>
      <c r="S185" s="68" t="s">
        <v>41</v>
      </c>
      <c r="T185" s="4" t="s">
        <v>42</v>
      </c>
      <c r="U185" s="1" t="s">
        <v>43</v>
      </c>
      <c r="V185" s="1">
        <v>6120013</v>
      </c>
      <c r="W185" s="25"/>
    </row>
    <row r="186" spans="1:23" ht="57" customHeight="1" x14ac:dyDescent="0.25">
      <c r="A186" s="95" t="s">
        <v>56</v>
      </c>
      <c r="B186" s="24" t="s">
        <v>208</v>
      </c>
      <c r="C186" s="25">
        <v>1176</v>
      </c>
      <c r="D186" s="43" t="s">
        <v>535</v>
      </c>
      <c r="E186" s="1" t="s">
        <v>536</v>
      </c>
      <c r="F186" s="25" t="s">
        <v>186</v>
      </c>
      <c r="G186" s="43" t="s">
        <v>497</v>
      </c>
      <c r="H186" s="47" t="s">
        <v>39</v>
      </c>
      <c r="I186" s="43" t="s">
        <v>245</v>
      </c>
      <c r="J186" s="2" t="s">
        <v>38</v>
      </c>
      <c r="K186" s="47" t="s">
        <v>39</v>
      </c>
      <c r="L186" s="57"/>
      <c r="M186" s="5"/>
      <c r="N186" s="5"/>
      <c r="O186" s="5"/>
      <c r="P186" s="56"/>
      <c r="Q186" s="56"/>
      <c r="R186" s="64" t="s">
        <v>537</v>
      </c>
      <c r="S186" s="68" t="s">
        <v>41</v>
      </c>
      <c r="T186" s="4" t="s">
        <v>42</v>
      </c>
      <c r="U186" s="1" t="s">
        <v>43</v>
      </c>
      <c r="V186" s="1">
        <v>6120013</v>
      </c>
      <c r="W186" s="25"/>
    </row>
    <row r="187" spans="1:23" ht="57" customHeight="1" x14ac:dyDescent="0.25">
      <c r="A187" s="95" t="s">
        <v>56</v>
      </c>
      <c r="B187" s="24" t="s">
        <v>208</v>
      </c>
      <c r="C187" s="25">
        <v>1176</v>
      </c>
      <c r="D187" s="43" t="s">
        <v>538</v>
      </c>
      <c r="E187" s="1" t="s">
        <v>539</v>
      </c>
      <c r="F187" s="25" t="s">
        <v>26</v>
      </c>
      <c r="G187" s="43" t="s">
        <v>166</v>
      </c>
      <c r="H187" s="47" t="s">
        <v>39</v>
      </c>
      <c r="I187" s="43" t="s">
        <v>28</v>
      </c>
      <c r="J187" s="2" t="s">
        <v>38</v>
      </c>
      <c r="K187" s="47" t="s">
        <v>39</v>
      </c>
      <c r="L187" s="57"/>
      <c r="M187" s="5"/>
      <c r="N187" s="5"/>
      <c r="O187" s="5"/>
      <c r="P187" s="25"/>
      <c r="Q187" s="25"/>
      <c r="R187" s="64" t="s">
        <v>540</v>
      </c>
      <c r="S187" s="68" t="s">
        <v>41</v>
      </c>
      <c r="T187" s="4" t="s">
        <v>42</v>
      </c>
      <c r="U187" s="1" t="s">
        <v>43</v>
      </c>
      <c r="V187" s="1">
        <v>6234000</v>
      </c>
      <c r="W187" s="25"/>
    </row>
    <row r="188" spans="1:23" ht="57" customHeight="1" x14ac:dyDescent="0.25">
      <c r="A188" s="95" t="s">
        <v>56</v>
      </c>
      <c r="B188" s="24" t="s">
        <v>208</v>
      </c>
      <c r="C188" s="25">
        <v>1176</v>
      </c>
      <c r="D188" s="43" t="s">
        <v>538</v>
      </c>
      <c r="E188" s="1" t="s">
        <v>541</v>
      </c>
      <c r="F188" s="25" t="s">
        <v>186</v>
      </c>
      <c r="G188" s="43" t="s">
        <v>166</v>
      </c>
      <c r="H188" s="47" t="s">
        <v>39</v>
      </c>
      <c r="I188" s="43" t="s">
        <v>28</v>
      </c>
      <c r="J188" s="2" t="s">
        <v>38</v>
      </c>
      <c r="K188" s="47" t="s">
        <v>39</v>
      </c>
      <c r="L188" s="57"/>
      <c r="M188" s="5"/>
      <c r="N188" s="5"/>
      <c r="O188" s="5"/>
      <c r="P188" s="25"/>
      <c r="Q188" s="25"/>
      <c r="R188" s="64" t="s">
        <v>542</v>
      </c>
      <c r="S188" s="68" t="s">
        <v>41</v>
      </c>
      <c r="T188" s="4" t="s">
        <v>42</v>
      </c>
      <c r="U188" s="1" t="s">
        <v>43</v>
      </c>
      <c r="V188" s="1">
        <v>6234000</v>
      </c>
      <c r="W188" s="25"/>
    </row>
    <row r="189" spans="1:23" ht="57" customHeight="1" x14ac:dyDescent="0.25">
      <c r="A189" s="95" t="s">
        <v>56</v>
      </c>
      <c r="B189" s="24" t="s">
        <v>208</v>
      </c>
      <c r="C189" s="25">
        <v>1176</v>
      </c>
      <c r="D189" s="43" t="s">
        <v>543</v>
      </c>
      <c r="E189" s="1" t="s">
        <v>544</v>
      </c>
      <c r="F189" s="25" t="s">
        <v>186</v>
      </c>
      <c r="G189" s="43" t="s">
        <v>166</v>
      </c>
      <c r="H189" s="47" t="s">
        <v>39</v>
      </c>
      <c r="I189" s="43" t="s">
        <v>30</v>
      </c>
      <c r="J189" s="2" t="s">
        <v>38</v>
      </c>
      <c r="K189" s="47" t="s">
        <v>39</v>
      </c>
      <c r="L189" s="57"/>
      <c r="M189" s="5"/>
      <c r="N189" s="5"/>
      <c r="O189" s="5"/>
      <c r="P189" s="56"/>
      <c r="Q189" s="56"/>
      <c r="R189" s="64" t="s">
        <v>544</v>
      </c>
      <c r="S189" s="68" t="s">
        <v>41</v>
      </c>
      <c r="T189" s="4" t="s">
        <v>42</v>
      </c>
      <c r="U189" s="1" t="s">
        <v>43</v>
      </c>
      <c r="V189" s="1">
        <v>6280043</v>
      </c>
      <c r="W189" s="25"/>
    </row>
    <row r="190" spans="1:23" ht="57" customHeight="1" x14ac:dyDescent="0.25">
      <c r="A190" s="95" t="s">
        <v>56</v>
      </c>
      <c r="B190" s="24" t="s">
        <v>208</v>
      </c>
      <c r="C190" s="25">
        <v>1176</v>
      </c>
      <c r="D190" s="43" t="s">
        <v>545</v>
      </c>
      <c r="E190" s="1" t="s">
        <v>546</v>
      </c>
      <c r="F190" s="25" t="s">
        <v>26</v>
      </c>
      <c r="G190" s="43" t="s">
        <v>166</v>
      </c>
      <c r="H190" s="47" t="s">
        <v>39</v>
      </c>
      <c r="I190" s="43" t="s">
        <v>37</v>
      </c>
      <c r="J190" s="2" t="s">
        <v>38</v>
      </c>
      <c r="K190" s="47" t="s">
        <v>39</v>
      </c>
      <c r="L190" s="57"/>
      <c r="M190" s="5"/>
      <c r="N190" s="5"/>
      <c r="O190" s="5"/>
      <c r="P190" s="56"/>
      <c r="Q190" s="56"/>
      <c r="R190" s="64" t="s">
        <v>547</v>
      </c>
      <c r="S190" s="68" t="s">
        <v>41</v>
      </c>
      <c r="T190" s="4" t="s">
        <v>42</v>
      </c>
      <c r="U190" s="1" t="s">
        <v>43</v>
      </c>
      <c r="V190" s="1">
        <v>7090000</v>
      </c>
      <c r="W190" s="25"/>
    </row>
    <row r="191" spans="1:23" ht="57" customHeight="1" x14ac:dyDescent="0.25">
      <c r="A191" s="95" t="s">
        <v>56</v>
      </c>
      <c r="B191" s="24" t="s">
        <v>208</v>
      </c>
      <c r="C191" s="25">
        <v>1176</v>
      </c>
      <c r="D191" s="43" t="s">
        <v>545</v>
      </c>
      <c r="E191" s="1" t="s">
        <v>548</v>
      </c>
      <c r="F191" s="25" t="s">
        <v>186</v>
      </c>
      <c r="G191" s="43" t="s">
        <v>166</v>
      </c>
      <c r="H191" s="47" t="s">
        <v>39</v>
      </c>
      <c r="I191" s="43" t="s">
        <v>37</v>
      </c>
      <c r="J191" s="2" t="s">
        <v>38</v>
      </c>
      <c r="K191" s="47" t="s">
        <v>39</v>
      </c>
      <c r="L191" s="57"/>
      <c r="M191" s="5"/>
      <c r="N191" s="5"/>
      <c r="O191" s="5"/>
      <c r="P191" s="56"/>
      <c r="Q191" s="56"/>
      <c r="R191" s="64" t="s">
        <v>549</v>
      </c>
      <c r="S191" s="68" t="s">
        <v>41</v>
      </c>
      <c r="T191" s="4" t="s">
        <v>42</v>
      </c>
      <c r="U191" s="1" t="s">
        <v>43</v>
      </c>
      <c r="V191" s="1">
        <v>7090000</v>
      </c>
      <c r="W191" s="25"/>
    </row>
    <row r="192" spans="1:23" ht="85.5" customHeight="1" x14ac:dyDescent="0.25">
      <c r="A192" s="95" t="s">
        <v>56</v>
      </c>
      <c r="B192" s="24" t="s">
        <v>208</v>
      </c>
      <c r="C192" s="25">
        <v>1176</v>
      </c>
      <c r="D192" s="43" t="s">
        <v>545</v>
      </c>
      <c r="E192" s="1" t="s">
        <v>550</v>
      </c>
      <c r="F192" s="25" t="s">
        <v>26</v>
      </c>
      <c r="G192" s="43" t="s">
        <v>155</v>
      </c>
      <c r="H192" s="47" t="s">
        <v>39</v>
      </c>
      <c r="I192" s="43" t="s">
        <v>28</v>
      </c>
      <c r="J192" s="2" t="s">
        <v>38</v>
      </c>
      <c r="K192" s="47" t="s">
        <v>39</v>
      </c>
      <c r="L192" s="57"/>
      <c r="M192" s="5"/>
      <c r="N192" s="5"/>
      <c r="O192" s="5"/>
      <c r="P192" s="56"/>
      <c r="Q192" s="56"/>
      <c r="R192" s="64" t="s">
        <v>551</v>
      </c>
      <c r="S192" s="68" t="s">
        <v>41</v>
      </c>
      <c r="T192" s="4" t="s">
        <v>42</v>
      </c>
      <c r="U192" s="1" t="s">
        <v>43</v>
      </c>
      <c r="V192" s="1">
        <v>6234000</v>
      </c>
      <c r="W192" s="25"/>
    </row>
    <row r="193" spans="1:23" ht="85.5" customHeight="1" x14ac:dyDescent="0.25">
      <c r="A193" s="95" t="s">
        <v>56</v>
      </c>
      <c r="B193" s="24" t="s">
        <v>208</v>
      </c>
      <c r="C193" s="25">
        <v>1176</v>
      </c>
      <c r="D193" s="43" t="s">
        <v>545</v>
      </c>
      <c r="E193" s="1" t="s">
        <v>552</v>
      </c>
      <c r="F193" s="25" t="s">
        <v>26</v>
      </c>
      <c r="G193" s="43" t="s">
        <v>155</v>
      </c>
      <c r="H193" s="47" t="s">
        <v>39</v>
      </c>
      <c r="I193" s="43" t="s">
        <v>37</v>
      </c>
      <c r="J193" s="2" t="s">
        <v>38</v>
      </c>
      <c r="K193" s="47" t="s">
        <v>39</v>
      </c>
      <c r="L193" s="57"/>
      <c r="M193" s="5"/>
      <c r="N193" s="5"/>
      <c r="O193" s="5"/>
      <c r="P193" s="56"/>
      <c r="Q193" s="56"/>
      <c r="R193" s="64" t="s">
        <v>553</v>
      </c>
      <c r="S193" s="68" t="s">
        <v>41</v>
      </c>
      <c r="T193" s="4" t="s">
        <v>42</v>
      </c>
      <c r="U193" s="1" t="s">
        <v>43</v>
      </c>
      <c r="V193" s="1">
        <v>7090000</v>
      </c>
      <c r="W193" s="25"/>
    </row>
    <row r="194" spans="1:23" ht="142.5" customHeight="1" x14ac:dyDescent="0.25">
      <c r="A194" s="95" t="s">
        <v>56</v>
      </c>
      <c r="B194" s="24" t="s">
        <v>208</v>
      </c>
      <c r="C194" s="25">
        <v>1176</v>
      </c>
      <c r="D194" s="43" t="s">
        <v>526</v>
      </c>
      <c r="E194" s="1" t="s">
        <v>554</v>
      </c>
      <c r="F194" s="25" t="s">
        <v>22</v>
      </c>
      <c r="G194" s="43" t="s">
        <v>155</v>
      </c>
      <c r="H194" s="47" t="s">
        <v>39</v>
      </c>
      <c r="I194" s="43" t="s">
        <v>24</v>
      </c>
      <c r="J194" s="2" t="s">
        <v>11</v>
      </c>
      <c r="K194" s="47" t="s">
        <v>120</v>
      </c>
      <c r="L194" s="57"/>
      <c r="M194" s="5"/>
      <c r="N194" s="5"/>
      <c r="O194" s="5"/>
      <c r="P194" s="56"/>
      <c r="Q194" s="56">
        <v>1</v>
      </c>
      <c r="R194" s="64" t="s">
        <v>555</v>
      </c>
      <c r="S194" s="68" t="s">
        <v>41</v>
      </c>
      <c r="T194" s="4" t="s">
        <v>42</v>
      </c>
      <c r="U194" s="1" t="s">
        <v>43</v>
      </c>
      <c r="V194" s="1" t="s">
        <v>25</v>
      </c>
      <c r="W194" s="25" t="s">
        <v>525</v>
      </c>
    </row>
    <row r="195" spans="1:23" ht="57.75" customHeight="1" thickBot="1" x14ac:dyDescent="0.3">
      <c r="A195" s="96" t="s">
        <v>56</v>
      </c>
      <c r="B195" s="26" t="s">
        <v>208</v>
      </c>
      <c r="C195" s="32">
        <v>1176</v>
      </c>
      <c r="D195" s="44" t="s">
        <v>545</v>
      </c>
      <c r="E195" s="27" t="s">
        <v>552</v>
      </c>
      <c r="F195" s="32" t="s">
        <v>26</v>
      </c>
      <c r="G195" s="44" t="s">
        <v>230</v>
      </c>
      <c r="H195" s="48" t="s">
        <v>39</v>
      </c>
      <c r="I195" s="44" t="s">
        <v>37</v>
      </c>
      <c r="J195" s="28" t="s">
        <v>38</v>
      </c>
      <c r="K195" s="48" t="s">
        <v>39</v>
      </c>
      <c r="L195" s="58"/>
      <c r="M195" s="29"/>
      <c r="N195" s="29"/>
      <c r="O195" s="29"/>
      <c r="P195" s="59"/>
      <c r="Q195" s="59"/>
      <c r="R195" s="65" t="s">
        <v>547</v>
      </c>
      <c r="S195" s="69" t="s">
        <v>41</v>
      </c>
      <c r="T195" s="31" t="s">
        <v>42</v>
      </c>
      <c r="U195" s="27" t="s">
        <v>43</v>
      </c>
      <c r="V195" s="27">
        <v>7090000</v>
      </c>
      <c r="W195" s="32"/>
    </row>
    <row r="196" spans="1:23" ht="57" customHeight="1" x14ac:dyDescent="0.25">
      <c r="A196" s="94" t="s">
        <v>56</v>
      </c>
      <c r="B196" s="18" t="s">
        <v>556</v>
      </c>
      <c r="C196" s="23">
        <v>2300</v>
      </c>
      <c r="D196" s="42" t="s">
        <v>39</v>
      </c>
      <c r="E196" s="19" t="s">
        <v>557</v>
      </c>
      <c r="F196" s="23" t="s">
        <v>26</v>
      </c>
      <c r="G196" s="42" t="s">
        <v>166</v>
      </c>
      <c r="H196" s="46" t="s">
        <v>39</v>
      </c>
      <c r="I196" s="42" t="s">
        <v>28</v>
      </c>
      <c r="J196" s="20" t="s">
        <v>38</v>
      </c>
      <c r="K196" s="46" t="s">
        <v>39</v>
      </c>
      <c r="L196" s="53"/>
      <c r="M196" s="21"/>
      <c r="N196" s="21"/>
      <c r="O196" s="21"/>
      <c r="P196" s="54"/>
      <c r="Q196" s="54"/>
      <c r="R196" s="63"/>
      <c r="S196" s="67" t="s">
        <v>41</v>
      </c>
      <c r="T196" s="22" t="s">
        <v>42</v>
      </c>
      <c r="U196" s="19" t="s">
        <v>43</v>
      </c>
      <c r="V196" s="19" t="s">
        <v>38</v>
      </c>
      <c r="W196" s="23"/>
    </row>
    <row r="197" spans="1:23" ht="57" customHeight="1" x14ac:dyDescent="0.25">
      <c r="A197" s="95" t="s">
        <v>56</v>
      </c>
      <c r="B197" s="24" t="s">
        <v>556</v>
      </c>
      <c r="C197" s="25">
        <v>2300</v>
      </c>
      <c r="D197" s="43" t="s">
        <v>39</v>
      </c>
      <c r="E197" s="1" t="s">
        <v>558</v>
      </c>
      <c r="F197" s="25" t="s">
        <v>26</v>
      </c>
      <c r="G197" s="43" t="s">
        <v>230</v>
      </c>
      <c r="H197" s="47" t="s">
        <v>39</v>
      </c>
      <c r="I197" s="43" t="s">
        <v>28</v>
      </c>
      <c r="J197" s="2" t="s">
        <v>38</v>
      </c>
      <c r="K197" s="47" t="s">
        <v>39</v>
      </c>
      <c r="L197" s="57"/>
      <c r="M197" s="5"/>
      <c r="N197" s="5"/>
      <c r="O197" s="5"/>
      <c r="P197" s="56"/>
      <c r="Q197" s="56"/>
      <c r="R197" s="64"/>
      <c r="S197" s="68" t="s">
        <v>41</v>
      </c>
      <c r="T197" s="4" t="s">
        <v>42</v>
      </c>
      <c r="U197" s="1" t="s">
        <v>43</v>
      </c>
      <c r="V197" s="1" t="s">
        <v>38</v>
      </c>
      <c r="W197" s="25"/>
    </row>
    <row r="198" spans="1:23" ht="57" customHeight="1" x14ac:dyDescent="0.25">
      <c r="A198" s="95" t="s">
        <v>56</v>
      </c>
      <c r="B198" s="24" t="s">
        <v>556</v>
      </c>
      <c r="C198" s="25">
        <v>2300</v>
      </c>
      <c r="D198" s="43" t="s">
        <v>39</v>
      </c>
      <c r="E198" s="1" t="s">
        <v>559</v>
      </c>
      <c r="F198" s="25" t="s">
        <v>26</v>
      </c>
      <c r="G198" s="43" t="s">
        <v>230</v>
      </c>
      <c r="H198" s="47" t="s">
        <v>39</v>
      </c>
      <c r="I198" s="43" t="s">
        <v>28</v>
      </c>
      <c r="J198" s="2" t="s">
        <v>38</v>
      </c>
      <c r="K198" s="47" t="s">
        <v>39</v>
      </c>
      <c r="L198" s="57"/>
      <c r="M198" s="5"/>
      <c r="N198" s="5"/>
      <c r="O198" s="5"/>
      <c r="P198" s="56"/>
      <c r="Q198" s="56"/>
      <c r="R198" s="64"/>
      <c r="S198" s="68" t="s">
        <v>41</v>
      </c>
      <c r="T198" s="4" t="s">
        <v>42</v>
      </c>
      <c r="U198" s="1" t="s">
        <v>43</v>
      </c>
      <c r="V198" s="1" t="s">
        <v>38</v>
      </c>
      <c r="W198" s="25"/>
    </row>
    <row r="199" spans="1:23" ht="57" customHeight="1" x14ac:dyDescent="0.25">
      <c r="A199" s="95" t="s">
        <v>56</v>
      </c>
      <c r="B199" s="24" t="s">
        <v>556</v>
      </c>
      <c r="C199" s="25">
        <v>2300</v>
      </c>
      <c r="D199" s="43" t="s">
        <v>39</v>
      </c>
      <c r="E199" s="1" t="s">
        <v>560</v>
      </c>
      <c r="F199" s="25" t="s">
        <v>26</v>
      </c>
      <c r="G199" s="43" t="s">
        <v>29</v>
      </c>
      <c r="H199" s="47" t="s">
        <v>39</v>
      </c>
      <c r="I199" s="43" t="s">
        <v>28</v>
      </c>
      <c r="J199" s="2" t="s">
        <v>38</v>
      </c>
      <c r="K199" s="47" t="s">
        <v>39</v>
      </c>
      <c r="L199" s="57"/>
      <c r="M199" s="5"/>
      <c r="N199" s="5"/>
      <c r="O199" s="5"/>
      <c r="P199" s="56"/>
      <c r="Q199" s="56"/>
      <c r="R199" s="64"/>
      <c r="S199" s="68" t="s">
        <v>41</v>
      </c>
      <c r="T199" s="4" t="s">
        <v>42</v>
      </c>
      <c r="U199" s="1" t="s">
        <v>43</v>
      </c>
      <c r="V199" s="1" t="s">
        <v>38</v>
      </c>
      <c r="W199" s="25"/>
    </row>
    <row r="200" spans="1:23" ht="57" customHeight="1" x14ac:dyDescent="0.25">
      <c r="A200" s="95" t="s">
        <v>56</v>
      </c>
      <c r="B200" s="24" t="s">
        <v>556</v>
      </c>
      <c r="C200" s="25">
        <v>2300</v>
      </c>
      <c r="D200" s="43" t="s">
        <v>39</v>
      </c>
      <c r="E200" s="1" t="s">
        <v>561</v>
      </c>
      <c r="F200" s="25" t="s">
        <v>26</v>
      </c>
      <c r="G200" s="43" t="s">
        <v>27</v>
      </c>
      <c r="H200" s="47" t="s">
        <v>39</v>
      </c>
      <c r="I200" s="43" t="s">
        <v>37</v>
      </c>
      <c r="J200" s="2" t="s">
        <v>38</v>
      </c>
      <c r="K200" s="47" t="s">
        <v>39</v>
      </c>
      <c r="L200" s="57"/>
      <c r="M200" s="5"/>
      <c r="N200" s="5"/>
      <c r="O200" s="5"/>
      <c r="P200" s="56"/>
      <c r="Q200" s="56"/>
      <c r="R200" s="64"/>
      <c r="S200" s="68" t="s">
        <v>41</v>
      </c>
      <c r="T200" s="4" t="s">
        <v>42</v>
      </c>
      <c r="U200" s="1" t="s">
        <v>43</v>
      </c>
      <c r="V200" s="1" t="s">
        <v>38</v>
      </c>
      <c r="W200" s="25"/>
    </row>
    <row r="201" spans="1:23" ht="57" customHeight="1" x14ac:dyDescent="0.25">
      <c r="A201" s="95" t="s">
        <v>56</v>
      </c>
      <c r="B201" s="24" t="s">
        <v>556</v>
      </c>
      <c r="C201" s="25">
        <v>2300</v>
      </c>
      <c r="D201" s="43" t="s">
        <v>39</v>
      </c>
      <c r="E201" s="1" t="s">
        <v>562</v>
      </c>
      <c r="F201" s="25" t="s">
        <v>26</v>
      </c>
      <c r="G201" s="43" t="s">
        <v>29</v>
      </c>
      <c r="H201" s="47" t="s">
        <v>39</v>
      </c>
      <c r="I201" s="43" t="s">
        <v>247</v>
      </c>
      <c r="J201" s="2" t="s">
        <v>38</v>
      </c>
      <c r="K201" s="47" t="s">
        <v>39</v>
      </c>
      <c r="L201" s="57"/>
      <c r="M201" s="5"/>
      <c r="N201" s="5"/>
      <c r="O201" s="5"/>
      <c r="P201" s="56"/>
      <c r="Q201" s="56"/>
      <c r="R201" s="64"/>
      <c r="S201" s="68" t="s">
        <v>41</v>
      </c>
      <c r="T201" s="4" t="s">
        <v>42</v>
      </c>
      <c r="U201" s="1" t="s">
        <v>43</v>
      </c>
      <c r="V201" s="1" t="s">
        <v>38</v>
      </c>
      <c r="W201" s="25"/>
    </row>
    <row r="202" spans="1:23" ht="57" customHeight="1" x14ac:dyDescent="0.25">
      <c r="A202" s="95" t="s">
        <v>56</v>
      </c>
      <c r="B202" s="24" t="s">
        <v>556</v>
      </c>
      <c r="C202" s="25">
        <v>2300</v>
      </c>
      <c r="D202" s="43" t="s">
        <v>39</v>
      </c>
      <c r="E202" s="1" t="s">
        <v>563</v>
      </c>
      <c r="F202" s="25" t="s">
        <v>26</v>
      </c>
      <c r="G202" s="43" t="s">
        <v>564</v>
      </c>
      <c r="H202" s="47" t="s">
        <v>39</v>
      </c>
      <c r="I202" s="43" t="s">
        <v>28</v>
      </c>
      <c r="J202" s="2" t="s">
        <v>38</v>
      </c>
      <c r="K202" s="47" t="s">
        <v>39</v>
      </c>
      <c r="L202" s="57"/>
      <c r="M202" s="5"/>
      <c r="N202" s="5"/>
      <c r="O202" s="5"/>
      <c r="P202" s="56"/>
      <c r="Q202" s="56"/>
      <c r="R202" s="64"/>
      <c r="S202" s="68" t="s">
        <v>41</v>
      </c>
      <c r="T202" s="4" t="s">
        <v>42</v>
      </c>
      <c r="U202" s="1" t="s">
        <v>43</v>
      </c>
      <c r="V202" s="1" t="s">
        <v>38</v>
      </c>
      <c r="W202" s="25"/>
    </row>
    <row r="203" spans="1:23" ht="57" customHeight="1" x14ac:dyDescent="0.25">
      <c r="A203" s="95" t="s">
        <v>56</v>
      </c>
      <c r="B203" s="24" t="s">
        <v>556</v>
      </c>
      <c r="C203" s="25">
        <v>2300</v>
      </c>
      <c r="D203" s="43" t="s">
        <v>39</v>
      </c>
      <c r="E203" s="1" t="s">
        <v>565</v>
      </c>
      <c r="F203" s="25" t="s">
        <v>26</v>
      </c>
      <c r="G203" s="43" t="s">
        <v>166</v>
      </c>
      <c r="H203" s="47" t="s">
        <v>39</v>
      </c>
      <c r="I203" s="43" t="s">
        <v>28</v>
      </c>
      <c r="J203" s="2" t="s">
        <v>38</v>
      </c>
      <c r="K203" s="47" t="s">
        <v>39</v>
      </c>
      <c r="L203" s="57"/>
      <c r="M203" s="5"/>
      <c r="N203" s="5"/>
      <c r="O203" s="5"/>
      <c r="P203" s="56"/>
      <c r="Q203" s="56"/>
      <c r="R203" s="64"/>
      <c r="S203" s="68" t="s">
        <v>41</v>
      </c>
      <c r="T203" s="4" t="s">
        <v>42</v>
      </c>
      <c r="U203" s="1" t="s">
        <v>43</v>
      </c>
      <c r="V203" s="1" t="s">
        <v>38</v>
      </c>
      <c r="W203" s="25"/>
    </row>
    <row r="204" spans="1:23" ht="89.25" customHeight="1" x14ac:dyDescent="0.25">
      <c r="A204" s="95" t="s">
        <v>56</v>
      </c>
      <c r="B204" s="24" t="s">
        <v>556</v>
      </c>
      <c r="C204" s="25">
        <v>2300</v>
      </c>
      <c r="D204" s="43" t="s">
        <v>39</v>
      </c>
      <c r="E204" s="1" t="s">
        <v>1237</v>
      </c>
      <c r="F204" s="25" t="s">
        <v>26</v>
      </c>
      <c r="G204" s="43" t="s">
        <v>566</v>
      </c>
      <c r="H204" s="47" t="s">
        <v>39</v>
      </c>
      <c r="I204" s="99" t="s">
        <v>28</v>
      </c>
      <c r="J204" s="2" t="s">
        <v>38</v>
      </c>
      <c r="K204" s="47" t="s">
        <v>39</v>
      </c>
      <c r="L204" s="57"/>
      <c r="M204" s="5"/>
      <c r="N204" s="5"/>
      <c r="O204" s="5"/>
      <c r="P204" s="56"/>
      <c r="Q204" s="56"/>
      <c r="R204" s="64"/>
      <c r="S204" s="68" t="s">
        <v>41</v>
      </c>
      <c r="T204" s="4" t="s">
        <v>42</v>
      </c>
      <c r="U204" s="1" t="s">
        <v>43</v>
      </c>
      <c r="V204" s="1" t="s">
        <v>38</v>
      </c>
      <c r="W204" s="25"/>
    </row>
    <row r="205" spans="1:23" ht="90.75" customHeight="1" x14ac:dyDescent="0.25">
      <c r="A205" s="95" t="s">
        <v>56</v>
      </c>
      <c r="B205" s="24" t="s">
        <v>556</v>
      </c>
      <c r="C205" s="25">
        <v>2300</v>
      </c>
      <c r="D205" s="43" t="s">
        <v>39</v>
      </c>
      <c r="E205" s="1" t="s">
        <v>1239</v>
      </c>
      <c r="F205" s="25" t="s">
        <v>26</v>
      </c>
      <c r="G205" s="43" t="s">
        <v>230</v>
      </c>
      <c r="H205" s="47" t="s">
        <v>39</v>
      </c>
      <c r="I205" s="99" t="s">
        <v>192</v>
      </c>
      <c r="J205" s="2" t="s">
        <v>11</v>
      </c>
      <c r="K205" s="47" t="s">
        <v>151</v>
      </c>
      <c r="L205" s="57"/>
      <c r="M205" s="3">
        <v>0.7</v>
      </c>
      <c r="N205" s="3">
        <v>0.7</v>
      </c>
      <c r="O205" s="3">
        <v>0.7</v>
      </c>
      <c r="P205" s="56"/>
      <c r="Q205" s="56"/>
      <c r="R205" s="64"/>
      <c r="S205" s="68" t="s">
        <v>41</v>
      </c>
      <c r="T205" s="4" t="s">
        <v>42</v>
      </c>
      <c r="U205" s="1" t="s">
        <v>43</v>
      </c>
      <c r="V205" s="1" t="s">
        <v>38</v>
      </c>
      <c r="W205" s="25"/>
    </row>
    <row r="206" spans="1:23" ht="90.75" customHeight="1" x14ac:dyDescent="0.25">
      <c r="A206" s="95" t="s">
        <v>56</v>
      </c>
      <c r="B206" s="24" t="s">
        <v>556</v>
      </c>
      <c r="C206" s="25">
        <v>2300</v>
      </c>
      <c r="D206" s="43" t="s">
        <v>36</v>
      </c>
      <c r="E206" s="1" t="s">
        <v>1238</v>
      </c>
      <c r="F206" s="25" t="s">
        <v>26</v>
      </c>
      <c r="G206" s="43" t="s">
        <v>47</v>
      </c>
      <c r="H206" s="47" t="s">
        <v>36</v>
      </c>
      <c r="I206" s="99" t="s">
        <v>37</v>
      </c>
      <c r="J206" s="2" t="s">
        <v>38</v>
      </c>
      <c r="K206" s="47" t="s">
        <v>39</v>
      </c>
      <c r="L206" s="57"/>
      <c r="M206" s="5"/>
      <c r="N206" s="5"/>
      <c r="O206" s="5"/>
      <c r="P206" s="56"/>
      <c r="Q206" s="56">
        <f>30-2.4</f>
        <v>27.6</v>
      </c>
      <c r="R206" s="64"/>
      <c r="S206" s="68" t="s">
        <v>41</v>
      </c>
      <c r="T206" s="4" t="s">
        <v>42</v>
      </c>
      <c r="U206" s="1" t="s">
        <v>43</v>
      </c>
      <c r="V206" s="1" t="s">
        <v>38</v>
      </c>
      <c r="W206" s="25"/>
    </row>
    <row r="207" spans="1:23" ht="28.5" customHeight="1" x14ac:dyDescent="0.25">
      <c r="A207" s="95" t="s">
        <v>56</v>
      </c>
      <c r="B207" s="24" t="s">
        <v>556</v>
      </c>
      <c r="C207" s="25">
        <v>2300</v>
      </c>
      <c r="D207" s="43" t="s">
        <v>36</v>
      </c>
      <c r="E207" s="1" t="s">
        <v>567</v>
      </c>
      <c r="F207" s="25" t="s">
        <v>26</v>
      </c>
      <c r="G207" s="43" t="s">
        <v>47</v>
      </c>
      <c r="H207" s="47" t="s">
        <v>36</v>
      </c>
      <c r="I207" s="43" t="s">
        <v>48</v>
      </c>
      <c r="J207" s="2" t="s">
        <v>10</v>
      </c>
      <c r="K207" s="47" t="s">
        <v>49</v>
      </c>
      <c r="L207" s="55">
        <v>2.4</v>
      </c>
      <c r="M207" s="5"/>
      <c r="N207" s="5"/>
      <c r="O207" s="5"/>
      <c r="P207" s="56"/>
      <c r="Q207" s="56"/>
      <c r="R207" s="64"/>
      <c r="S207" s="68" t="s">
        <v>41</v>
      </c>
      <c r="T207" s="4" t="s">
        <v>42</v>
      </c>
      <c r="U207" s="1" t="s">
        <v>43</v>
      </c>
      <c r="V207" s="1" t="s">
        <v>38</v>
      </c>
      <c r="W207" s="25"/>
    </row>
    <row r="208" spans="1:23" ht="57" customHeight="1" x14ac:dyDescent="0.25">
      <c r="A208" s="95" t="s">
        <v>56</v>
      </c>
      <c r="B208" s="24" t="s">
        <v>556</v>
      </c>
      <c r="C208" s="25">
        <v>1799</v>
      </c>
      <c r="D208" s="43" t="s">
        <v>39</v>
      </c>
      <c r="E208" s="1" t="s">
        <v>568</v>
      </c>
      <c r="F208" s="25" t="s">
        <v>22</v>
      </c>
      <c r="G208" s="43" t="s">
        <v>29</v>
      </c>
      <c r="H208" s="47" t="s">
        <v>39</v>
      </c>
      <c r="I208" s="43" t="s">
        <v>24</v>
      </c>
      <c r="J208" s="2" t="s">
        <v>11</v>
      </c>
      <c r="K208" s="47" t="s">
        <v>120</v>
      </c>
      <c r="L208" s="57"/>
      <c r="M208" s="3">
        <v>0.06</v>
      </c>
      <c r="N208" s="3">
        <v>0.06</v>
      </c>
      <c r="O208" s="3">
        <v>0.06</v>
      </c>
      <c r="P208" s="56"/>
      <c r="Q208" s="56"/>
      <c r="R208" s="64"/>
      <c r="S208" s="68" t="s">
        <v>41</v>
      </c>
      <c r="T208" s="4" t="s">
        <v>42</v>
      </c>
      <c r="U208" s="1" t="s">
        <v>43</v>
      </c>
      <c r="V208" s="1" t="s">
        <v>38</v>
      </c>
      <c r="W208" s="25"/>
    </row>
    <row r="209" spans="1:23" ht="57" customHeight="1" x14ac:dyDescent="0.25">
      <c r="A209" s="95" t="s">
        <v>56</v>
      </c>
      <c r="B209" s="24" t="s">
        <v>556</v>
      </c>
      <c r="C209" s="25">
        <v>1799</v>
      </c>
      <c r="D209" s="43" t="s">
        <v>39</v>
      </c>
      <c r="E209" s="1" t="s">
        <v>569</v>
      </c>
      <c r="F209" s="25" t="s">
        <v>26</v>
      </c>
      <c r="G209" s="43" t="s">
        <v>29</v>
      </c>
      <c r="H209" s="47" t="s">
        <v>39</v>
      </c>
      <c r="I209" s="43" t="s">
        <v>28</v>
      </c>
      <c r="J209" s="2" t="s">
        <v>38</v>
      </c>
      <c r="K209" s="47" t="s">
        <v>39</v>
      </c>
      <c r="L209" s="57"/>
      <c r="M209" s="5"/>
      <c r="N209" s="5"/>
      <c r="O209" s="5"/>
      <c r="P209" s="56"/>
      <c r="Q209" s="56"/>
      <c r="R209" s="64"/>
      <c r="S209" s="68" t="s">
        <v>41</v>
      </c>
      <c r="T209" s="4" t="s">
        <v>42</v>
      </c>
      <c r="U209" s="1" t="s">
        <v>43</v>
      </c>
      <c r="V209" s="1" t="s">
        <v>38</v>
      </c>
      <c r="W209" s="25"/>
    </row>
    <row r="210" spans="1:23" ht="43.5" customHeight="1" thickBot="1" x14ac:dyDescent="0.3">
      <c r="A210" s="96" t="s">
        <v>56</v>
      </c>
      <c r="B210" s="26" t="s">
        <v>556</v>
      </c>
      <c r="C210" s="32">
        <v>1799</v>
      </c>
      <c r="D210" s="44" t="s">
        <v>36</v>
      </c>
      <c r="E210" s="27" t="s">
        <v>570</v>
      </c>
      <c r="F210" s="32" t="s">
        <v>26</v>
      </c>
      <c r="G210" s="44" t="s">
        <v>372</v>
      </c>
      <c r="H210" s="48" t="s">
        <v>36</v>
      </c>
      <c r="I210" s="44" t="s">
        <v>37</v>
      </c>
      <c r="J210" s="28" t="s">
        <v>38</v>
      </c>
      <c r="K210" s="48" t="s">
        <v>39</v>
      </c>
      <c r="L210" s="58"/>
      <c r="M210" s="29"/>
      <c r="N210" s="29"/>
      <c r="O210" s="29"/>
      <c r="P210" s="59"/>
      <c r="Q210" s="59">
        <v>0.3</v>
      </c>
      <c r="R210" s="65"/>
      <c r="S210" s="69" t="s">
        <v>41</v>
      </c>
      <c r="T210" s="31" t="s">
        <v>42</v>
      </c>
      <c r="U210" s="27" t="s">
        <v>43</v>
      </c>
      <c r="V210" s="27" t="s">
        <v>38</v>
      </c>
      <c r="W210" s="32"/>
    </row>
    <row r="211" spans="1:23" ht="85.5" customHeight="1" x14ac:dyDescent="0.25">
      <c r="A211" s="94" t="s">
        <v>56</v>
      </c>
      <c r="B211" s="18" t="s">
        <v>97</v>
      </c>
      <c r="C211" s="23">
        <v>1199</v>
      </c>
      <c r="D211" s="42" t="s">
        <v>571</v>
      </c>
      <c r="E211" s="19" t="s">
        <v>572</v>
      </c>
      <c r="F211" s="23" t="s">
        <v>31</v>
      </c>
      <c r="G211" s="42" t="s">
        <v>47</v>
      </c>
      <c r="H211" s="46" t="s">
        <v>36</v>
      </c>
      <c r="I211" s="100" t="s">
        <v>117</v>
      </c>
      <c r="J211" s="20" t="s">
        <v>10</v>
      </c>
      <c r="K211" s="46" t="s">
        <v>120</v>
      </c>
      <c r="L211" s="76">
        <v>0.39539334828862888</v>
      </c>
      <c r="M211" s="21"/>
      <c r="N211" s="21"/>
      <c r="O211" s="21"/>
      <c r="P211" s="54"/>
      <c r="Q211" s="54"/>
      <c r="R211" s="63"/>
      <c r="S211" s="67" t="s">
        <v>573</v>
      </c>
      <c r="T211" s="22" t="s">
        <v>574</v>
      </c>
      <c r="U211" s="19" t="s">
        <v>159</v>
      </c>
      <c r="V211" s="19"/>
      <c r="W211" s="23"/>
    </row>
    <row r="212" spans="1:23" ht="93" customHeight="1" x14ac:dyDescent="0.25">
      <c r="A212" s="95" t="s">
        <v>56</v>
      </c>
      <c r="B212" s="24" t="s">
        <v>97</v>
      </c>
      <c r="C212" s="25">
        <v>1199</v>
      </c>
      <c r="D212" s="43" t="s">
        <v>571</v>
      </c>
      <c r="E212" s="1" t="s">
        <v>575</v>
      </c>
      <c r="F212" s="25" t="s">
        <v>22</v>
      </c>
      <c r="G212" s="43" t="s">
        <v>47</v>
      </c>
      <c r="H212" s="47" t="s">
        <v>36</v>
      </c>
      <c r="I212" s="99" t="s">
        <v>117</v>
      </c>
      <c r="J212" s="2" t="s">
        <v>10</v>
      </c>
      <c r="K212" s="47" t="s">
        <v>120</v>
      </c>
      <c r="L212" s="55">
        <v>1.3</v>
      </c>
      <c r="M212" s="5"/>
      <c r="N212" s="5"/>
      <c r="O212" s="5"/>
      <c r="P212" s="56"/>
      <c r="Q212" s="56"/>
      <c r="R212" s="64"/>
      <c r="S212" s="68" t="s">
        <v>573</v>
      </c>
      <c r="T212" s="4" t="s">
        <v>574</v>
      </c>
      <c r="U212" s="1" t="s">
        <v>159</v>
      </c>
      <c r="V212" s="1"/>
      <c r="W212" s="25"/>
    </row>
    <row r="213" spans="1:23" ht="57" customHeight="1" x14ac:dyDescent="0.25">
      <c r="A213" s="95" t="s">
        <v>56</v>
      </c>
      <c r="B213" s="24" t="s">
        <v>97</v>
      </c>
      <c r="C213" s="25">
        <v>1199</v>
      </c>
      <c r="D213" s="43" t="s">
        <v>576</v>
      </c>
      <c r="E213" s="1" t="s">
        <v>577</v>
      </c>
      <c r="F213" s="25" t="s">
        <v>22</v>
      </c>
      <c r="G213" s="43" t="s">
        <v>155</v>
      </c>
      <c r="H213" s="47" t="s">
        <v>39</v>
      </c>
      <c r="I213" s="99" t="s">
        <v>24</v>
      </c>
      <c r="J213" s="2" t="s">
        <v>11</v>
      </c>
      <c r="K213" s="47" t="s">
        <v>120</v>
      </c>
      <c r="L213" s="57"/>
      <c r="M213" s="3">
        <v>0.24989582999999996</v>
      </c>
      <c r="N213" s="3">
        <v>0.24989582999999996</v>
      </c>
      <c r="O213" s="3">
        <v>0.24989582999999996</v>
      </c>
      <c r="P213" s="56"/>
      <c r="Q213" s="56"/>
      <c r="R213" s="64"/>
      <c r="S213" s="68" t="s">
        <v>410</v>
      </c>
      <c r="T213" s="4" t="s">
        <v>411</v>
      </c>
      <c r="U213" s="1" t="s">
        <v>159</v>
      </c>
      <c r="V213" s="1"/>
      <c r="W213" s="25"/>
    </row>
    <row r="214" spans="1:23" ht="57" customHeight="1" x14ac:dyDescent="0.25">
      <c r="A214" s="95" t="s">
        <v>56</v>
      </c>
      <c r="B214" s="24" t="s">
        <v>97</v>
      </c>
      <c r="C214" s="25">
        <v>1199</v>
      </c>
      <c r="D214" s="43" t="s">
        <v>578</v>
      </c>
      <c r="E214" s="1" t="s">
        <v>579</v>
      </c>
      <c r="F214" s="25" t="s">
        <v>31</v>
      </c>
      <c r="G214" s="43" t="s">
        <v>155</v>
      </c>
      <c r="H214" s="47" t="s">
        <v>39</v>
      </c>
      <c r="I214" s="99" t="s">
        <v>24</v>
      </c>
      <c r="J214" s="2" t="s">
        <v>11</v>
      </c>
      <c r="K214" s="47" t="s">
        <v>120</v>
      </c>
      <c r="L214" s="57"/>
      <c r="M214" s="3">
        <v>0.4</v>
      </c>
      <c r="N214" s="3">
        <v>0.4</v>
      </c>
      <c r="O214" s="3">
        <v>0.4</v>
      </c>
      <c r="P214" s="56"/>
      <c r="Q214" s="56"/>
      <c r="R214" s="64"/>
      <c r="S214" s="68" t="s">
        <v>410</v>
      </c>
      <c r="T214" s="4" t="s">
        <v>411</v>
      </c>
      <c r="U214" s="1" t="s">
        <v>159</v>
      </c>
      <c r="V214" s="1"/>
      <c r="W214" s="25"/>
    </row>
    <row r="215" spans="1:23" ht="57" customHeight="1" x14ac:dyDescent="0.25">
      <c r="A215" s="95" t="s">
        <v>56</v>
      </c>
      <c r="B215" s="24" t="s">
        <v>97</v>
      </c>
      <c r="C215" s="25">
        <v>1199</v>
      </c>
      <c r="D215" s="43" t="s">
        <v>580</v>
      </c>
      <c r="E215" s="1" t="s">
        <v>581</v>
      </c>
      <c r="F215" s="25" t="s">
        <v>31</v>
      </c>
      <c r="G215" s="43" t="s">
        <v>23</v>
      </c>
      <c r="H215" s="47" t="s">
        <v>36</v>
      </c>
      <c r="I215" s="99" t="s">
        <v>117</v>
      </c>
      <c r="J215" s="2" t="s">
        <v>10</v>
      </c>
      <c r="K215" s="47" t="s">
        <v>120</v>
      </c>
      <c r="L215" s="57"/>
      <c r="M215" s="3">
        <v>0.39539334828862888</v>
      </c>
      <c r="N215" s="3">
        <v>0.39539334828862888</v>
      </c>
      <c r="O215" s="3">
        <v>0.39539334828862888</v>
      </c>
      <c r="P215" s="56"/>
      <c r="Q215" s="56"/>
      <c r="R215" s="64"/>
      <c r="S215" s="68" t="s">
        <v>410</v>
      </c>
      <c r="T215" s="4" t="s">
        <v>411</v>
      </c>
      <c r="U215" s="1" t="s">
        <v>159</v>
      </c>
      <c r="V215" s="1"/>
      <c r="W215" s="25"/>
    </row>
    <row r="216" spans="1:23" ht="57" customHeight="1" x14ac:dyDescent="0.25">
      <c r="A216" s="95" t="s">
        <v>56</v>
      </c>
      <c r="B216" s="24" t="s">
        <v>97</v>
      </c>
      <c r="C216" s="25">
        <v>1199</v>
      </c>
      <c r="D216" s="43" t="s">
        <v>580</v>
      </c>
      <c r="E216" s="1" t="s">
        <v>582</v>
      </c>
      <c r="F216" s="25" t="s">
        <v>22</v>
      </c>
      <c r="G216" s="43" t="s">
        <v>23</v>
      </c>
      <c r="H216" s="47" t="s">
        <v>36</v>
      </c>
      <c r="I216" s="99" t="s">
        <v>117</v>
      </c>
      <c r="J216" s="2" t="s">
        <v>10</v>
      </c>
      <c r="K216" s="47" t="s">
        <v>120</v>
      </c>
      <c r="L216" s="57"/>
      <c r="M216" s="3">
        <v>1.186060561996531</v>
      </c>
      <c r="N216" s="3">
        <v>1.186060561996531</v>
      </c>
      <c r="O216" s="3">
        <v>1.186060561996531</v>
      </c>
      <c r="P216" s="56"/>
      <c r="Q216" s="56"/>
      <c r="R216" s="64"/>
      <c r="S216" s="68" t="s">
        <v>410</v>
      </c>
      <c r="T216" s="4" t="s">
        <v>411</v>
      </c>
      <c r="U216" s="1" t="s">
        <v>159</v>
      </c>
      <c r="V216" s="1"/>
      <c r="W216" s="25"/>
    </row>
    <row r="217" spans="1:23" ht="57" customHeight="1" x14ac:dyDescent="0.25">
      <c r="A217" s="95" t="s">
        <v>56</v>
      </c>
      <c r="B217" s="24" t="s">
        <v>97</v>
      </c>
      <c r="C217" s="25">
        <v>1199</v>
      </c>
      <c r="D217" s="43" t="s">
        <v>583</v>
      </c>
      <c r="E217" s="1" t="s">
        <v>584</v>
      </c>
      <c r="F217" s="25" t="s">
        <v>31</v>
      </c>
      <c r="G217" s="43" t="s">
        <v>155</v>
      </c>
      <c r="H217" s="47" t="s">
        <v>39</v>
      </c>
      <c r="I217" s="43" t="s">
        <v>192</v>
      </c>
      <c r="J217" s="2" t="s">
        <v>11</v>
      </c>
      <c r="K217" s="47" t="s">
        <v>151</v>
      </c>
      <c r="L217" s="57"/>
      <c r="M217" s="3">
        <v>0.05</v>
      </c>
      <c r="N217" s="3">
        <v>0.05</v>
      </c>
      <c r="O217" s="3">
        <v>0.05</v>
      </c>
      <c r="P217" s="56"/>
      <c r="Q217" s="56"/>
      <c r="R217" s="64"/>
      <c r="S217" s="68" t="s">
        <v>410</v>
      </c>
      <c r="T217" s="4" t="s">
        <v>411</v>
      </c>
      <c r="U217" s="1" t="s">
        <v>159</v>
      </c>
      <c r="V217" s="1"/>
      <c r="W217" s="25"/>
    </row>
    <row r="218" spans="1:23" ht="57" customHeight="1" x14ac:dyDescent="0.25">
      <c r="A218" s="95" t="s">
        <v>56</v>
      </c>
      <c r="B218" s="24" t="s">
        <v>97</v>
      </c>
      <c r="C218" s="25">
        <v>1199</v>
      </c>
      <c r="D218" s="43" t="s">
        <v>583</v>
      </c>
      <c r="E218" s="1" t="s">
        <v>585</v>
      </c>
      <c r="F218" s="25" t="s">
        <v>26</v>
      </c>
      <c r="G218" s="43" t="s">
        <v>155</v>
      </c>
      <c r="H218" s="47" t="s">
        <v>39</v>
      </c>
      <c r="I218" s="43" t="s">
        <v>192</v>
      </c>
      <c r="J218" s="2" t="s">
        <v>11</v>
      </c>
      <c r="K218" s="47" t="s">
        <v>151</v>
      </c>
      <c r="L218" s="57"/>
      <c r="M218" s="3">
        <v>0.05</v>
      </c>
      <c r="N218" s="3">
        <v>0.05</v>
      </c>
      <c r="O218" s="3">
        <v>0.05</v>
      </c>
      <c r="P218" s="56"/>
      <c r="Q218" s="56"/>
      <c r="R218" s="64"/>
      <c r="S218" s="68" t="s">
        <v>410</v>
      </c>
      <c r="T218" s="4" t="s">
        <v>411</v>
      </c>
      <c r="U218" s="1" t="s">
        <v>159</v>
      </c>
      <c r="V218" s="1"/>
      <c r="W218" s="25"/>
    </row>
    <row r="219" spans="1:23" ht="57.75" customHeight="1" thickBot="1" x14ac:dyDescent="0.3">
      <c r="A219" s="96" t="s">
        <v>56</v>
      </c>
      <c r="B219" s="26" t="s">
        <v>97</v>
      </c>
      <c r="C219" s="32">
        <v>1199</v>
      </c>
      <c r="D219" s="44" t="s">
        <v>583</v>
      </c>
      <c r="E219" s="27" t="s">
        <v>586</v>
      </c>
      <c r="F219" s="32" t="s">
        <v>46</v>
      </c>
      <c r="G219" s="44" t="s">
        <v>155</v>
      </c>
      <c r="H219" s="48" t="s">
        <v>39</v>
      </c>
      <c r="I219" s="44" t="s">
        <v>192</v>
      </c>
      <c r="J219" s="28" t="s">
        <v>11</v>
      </c>
      <c r="K219" s="48" t="s">
        <v>151</v>
      </c>
      <c r="L219" s="58"/>
      <c r="M219" s="30">
        <v>0.02</v>
      </c>
      <c r="N219" s="30">
        <v>0.02</v>
      </c>
      <c r="O219" s="30">
        <v>0.02</v>
      </c>
      <c r="P219" s="59"/>
      <c r="Q219" s="59"/>
      <c r="R219" s="65"/>
      <c r="S219" s="69" t="s">
        <v>410</v>
      </c>
      <c r="T219" s="31" t="s">
        <v>411</v>
      </c>
      <c r="U219" s="27"/>
      <c r="V219" s="27"/>
      <c r="W219" s="32"/>
    </row>
    <row r="220" spans="1:23" ht="28.5" customHeight="1" x14ac:dyDescent="0.25">
      <c r="A220" s="94" t="s">
        <v>56</v>
      </c>
      <c r="B220" s="18" t="s">
        <v>94</v>
      </c>
      <c r="C220" s="23">
        <v>1256</v>
      </c>
      <c r="D220" s="42" t="s">
        <v>588</v>
      </c>
      <c r="E220" s="19" t="s">
        <v>589</v>
      </c>
      <c r="F220" s="23" t="s">
        <v>31</v>
      </c>
      <c r="G220" s="42" t="s">
        <v>116</v>
      </c>
      <c r="H220" s="46" t="s">
        <v>119</v>
      </c>
      <c r="I220" s="42" t="s">
        <v>399</v>
      </c>
      <c r="J220" s="20" t="s">
        <v>10</v>
      </c>
      <c r="K220" s="46" t="s">
        <v>49</v>
      </c>
      <c r="L220" s="76">
        <v>5.3949999999999996</v>
      </c>
      <c r="M220" s="21"/>
      <c r="N220" s="21"/>
      <c r="O220" s="21"/>
      <c r="P220" s="108"/>
      <c r="Q220" s="108"/>
      <c r="R220" s="63" t="s">
        <v>617</v>
      </c>
      <c r="S220" s="67" t="s">
        <v>41</v>
      </c>
      <c r="T220" s="22" t="s">
        <v>42</v>
      </c>
      <c r="U220" s="19" t="s">
        <v>43</v>
      </c>
      <c r="V220" s="19"/>
      <c r="W220" s="23"/>
    </row>
    <row r="221" spans="1:23" ht="28.5" customHeight="1" x14ac:dyDescent="0.25">
      <c r="A221" s="95" t="s">
        <v>56</v>
      </c>
      <c r="B221" s="24" t="s">
        <v>94</v>
      </c>
      <c r="C221" s="25">
        <v>1256</v>
      </c>
      <c r="D221" s="43" t="s">
        <v>590</v>
      </c>
      <c r="E221" s="1" t="s">
        <v>591</v>
      </c>
      <c r="F221" s="25" t="s">
        <v>31</v>
      </c>
      <c r="G221" s="99" t="s">
        <v>383</v>
      </c>
      <c r="H221" s="47" t="s">
        <v>119</v>
      </c>
      <c r="I221" s="43" t="s">
        <v>48</v>
      </c>
      <c r="J221" s="2" t="s">
        <v>10</v>
      </c>
      <c r="K221" s="47" t="s">
        <v>49</v>
      </c>
      <c r="L221" s="3">
        <v>2.8800000000000003</v>
      </c>
      <c r="M221" s="5"/>
      <c r="N221" s="5"/>
      <c r="O221" s="5"/>
      <c r="P221" s="109"/>
      <c r="Q221" s="109"/>
      <c r="R221" s="64" t="s">
        <v>616</v>
      </c>
      <c r="S221" s="68" t="s">
        <v>41</v>
      </c>
      <c r="T221" s="4" t="s">
        <v>42</v>
      </c>
      <c r="U221" s="1" t="s">
        <v>43</v>
      </c>
      <c r="V221" s="1"/>
      <c r="W221" s="25"/>
    </row>
    <row r="222" spans="1:23" ht="42.75" x14ac:dyDescent="0.25">
      <c r="A222" s="95" t="s">
        <v>56</v>
      </c>
      <c r="B222" s="24" t="s">
        <v>94</v>
      </c>
      <c r="C222" s="25">
        <v>1256</v>
      </c>
      <c r="D222" s="43" t="s">
        <v>592</v>
      </c>
      <c r="E222" s="1" t="s">
        <v>593</v>
      </c>
      <c r="F222" s="25" t="s">
        <v>26</v>
      </c>
      <c r="G222" s="43" t="s">
        <v>35</v>
      </c>
      <c r="H222" s="47" t="s">
        <v>36</v>
      </c>
      <c r="I222" s="43" t="s">
        <v>51</v>
      </c>
      <c r="J222" s="2" t="s">
        <v>11</v>
      </c>
      <c r="K222" s="47" t="s">
        <v>49</v>
      </c>
      <c r="L222" s="57"/>
      <c r="M222" s="3">
        <v>22.816852999999998</v>
      </c>
      <c r="N222" s="3">
        <v>22.816852999999998</v>
      </c>
      <c r="O222" s="3">
        <v>0</v>
      </c>
      <c r="P222" s="109">
        <v>22.816852999999998</v>
      </c>
      <c r="Q222" s="109">
        <v>30.1</v>
      </c>
      <c r="R222" s="64" t="s">
        <v>594</v>
      </c>
      <c r="S222" s="68" t="s">
        <v>41</v>
      </c>
      <c r="T222" s="4" t="s">
        <v>42</v>
      </c>
      <c r="U222" s="1" t="s">
        <v>43</v>
      </c>
      <c r="V222" s="1"/>
      <c r="W222" s="25"/>
    </row>
    <row r="223" spans="1:23" ht="42.75" customHeight="1" x14ac:dyDescent="0.25">
      <c r="A223" s="95" t="s">
        <v>56</v>
      </c>
      <c r="B223" s="24" t="s">
        <v>94</v>
      </c>
      <c r="C223" s="25">
        <v>1256</v>
      </c>
      <c r="D223" s="43" t="s">
        <v>595</v>
      </c>
      <c r="E223" s="1" t="s">
        <v>596</v>
      </c>
      <c r="F223" s="25" t="s">
        <v>26</v>
      </c>
      <c r="G223" s="43" t="s">
        <v>35</v>
      </c>
      <c r="H223" s="47" t="s">
        <v>36</v>
      </c>
      <c r="I223" s="43" t="s">
        <v>28</v>
      </c>
      <c r="J223" s="2" t="s">
        <v>38</v>
      </c>
      <c r="K223" s="47" t="s">
        <v>39</v>
      </c>
      <c r="L223" s="57"/>
      <c r="M223" s="5"/>
      <c r="N223" s="5"/>
      <c r="O223" s="5"/>
      <c r="P223" s="109">
        <v>1.4436739999999999</v>
      </c>
      <c r="Q223" s="109">
        <v>1.8</v>
      </c>
      <c r="R223" s="64" t="s">
        <v>597</v>
      </c>
      <c r="S223" s="68" t="s">
        <v>41</v>
      </c>
      <c r="T223" s="4" t="s">
        <v>42</v>
      </c>
      <c r="U223" s="1" t="s">
        <v>43</v>
      </c>
      <c r="V223" s="1"/>
      <c r="W223" s="25"/>
    </row>
    <row r="224" spans="1:23" ht="42.75" customHeight="1" x14ac:dyDescent="0.25">
      <c r="A224" s="95" t="s">
        <v>56</v>
      </c>
      <c r="B224" s="24" t="s">
        <v>94</v>
      </c>
      <c r="C224" s="25">
        <v>1256</v>
      </c>
      <c r="D224" s="43" t="s">
        <v>598</v>
      </c>
      <c r="E224" s="1" t="s">
        <v>599</v>
      </c>
      <c r="F224" s="25" t="s">
        <v>31</v>
      </c>
      <c r="G224" s="43" t="s">
        <v>35</v>
      </c>
      <c r="H224" s="47" t="s">
        <v>36</v>
      </c>
      <c r="I224" s="43" t="s">
        <v>24</v>
      </c>
      <c r="J224" s="2" t="s">
        <v>11</v>
      </c>
      <c r="K224" s="47" t="s">
        <v>120</v>
      </c>
      <c r="L224" s="57"/>
      <c r="M224" s="3">
        <v>1.942572</v>
      </c>
      <c r="N224" s="3">
        <v>1.942572</v>
      </c>
      <c r="O224" s="3">
        <v>0</v>
      </c>
      <c r="P224" s="109">
        <v>1.942572</v>
      </c>
      <c r="Q224" s="109">
        <v>2.4</v>
      </c>
      <c r="R224" s="64" t="s">
        <v>600</v>
      </c>
      <c r="S224" s="68" t="s">
        <v>41</v>
      </c>
      <c r="T224" s="4" t="s">
        <v>42</v>
      </c>
      <c r="U224" s="1" t="s">
        <v>43</v>
      </c>
      <c r="V224" s="1"/>
      <c r="W224" s="25"/>
    </row>
    <row r="225" spans="1:23" ht="57" x14ac:dyDescent="0.25">
      <c r="A225" s="95" t="s">
        <v>56</v>
      </c>
      <c r="B225" s="24" t="s">
        <v>94</v>
      </c>
      <c r="C225" s="25">
        <v>1256</v>
      </c>
      <c r="D225" s="43" t="s">
        <v>601</v>
      </c>
      <c r="E225" s="1" t="s">
        <v>602</v>
      </c>
      <c r="F225" s="25" t="s">
        <v>31</v>
      </c>
      <c r="G225" s="43" t="s">
        <v>416</v>
      </c>
      <c r="H225" s="47" t="s">
        <v>36</v>
      </c>
      <c r="I225" s="99" t="s">
        <v>24</v>
      </c>
      <c r="J225" s="2" t="s">
        <v>11</v>
      </c>
      <c r="K225" s="47" t="s">
        <v>120</v>
      </c>
      <c r="L225" s="57"/>
      <c r="M225" s="3">
        <v>7.2999999999999995E-2</v>
      </c>
      <c r="N225" s="3">
        <v>7.2999999999999995E-2</v>
      </c>
      <c r="O225" s="3">
        <v>0</v>
      </c>
      <c r="P225" s="109">
        <v>7.2999999999999995E-2</v>
      </c>
      <c r="Q225" s="109">
        <v>7.2999999999999995E-2</v>
      </c>
      <c r="R225" s="64" t="s">
        <v>603</v>
      </c>
      <c r="S225" s="68" t="s">
        <v>41</v>
      </c>
      <c r="T225" s="4" t="s">
        <v>42</v>
      </c>
      <c r="U225" s="1" t="s">
        <v>43</v>
      </c>
      <c r="V225" s="1"/>
      <c r="W225" s="25"/>
    </row>
    <row r="226" spans="1:23" ht="57" x14ac:dyDescent="0.25">
      <c r="A226" s="95" t="s">
        <v>56</v>
      </c>
      <c r="B226" s="24" t="s">
        <v>94</v>
      </c>
      <c r="C226" s="25">
        <v>1256</v>
      </c>
      <c r="D226" s="43" t="s">
        <v>604</v>
      </c>
      <c r="E226" s="1" t="s">
        <v>605</v>
      </c>
      <c r="F226" s="25" t="s">
        <v>22</v>
      </c>
      <c r="G226" s="43" t="s">
        <v>35</v>
      </c>
      <c r="H226" s="47" t="s">
        <v>36</v>
      </c>
      <c r="I226" s="43" t="s">
        <v>51</v>
      </c>
      <c r="J226" s="2" t="s">
        <v>11</v>
      </c>
      <c r="K226" s="47" t="s">
        <v>49</v>
      </c>
      <c r="L226" s="57"/>
      <c r="M226" s="3">
        <v>1.384142</v>
      </c>
      <c r="N226" s="3">
        <v>1.384142</v>
      </c>
      <c r="O226" s="3">
        <v>0</v>
      </c>
      <c r="P226" s="109">
        <v>1.384142</v>
      </c>
      <c r="Q226" s="109">
        <v>1.384142</v>
      </c>
      <c r="R226" s="64" t="s">
        <v>606</v>
      </c>
      <c r="S226" s="68" t="s">
        <v>41</v>
      </c>
      <c r="T226" s="4" t="s">
        <v>42</v>
      </c>
      <c r="U226" s="1" t="s">
        <v>43</v>
      </c>
      <c r="V226" s="1"/>
      <c r="W226" s="25"/>
    </row>
    <row r="227" spans="1:23" ht="42.75" customHeight="1" x14ac:dyDescent="0.25">
      <c r="A227" s="95" t="s">
        <v>56</v>
      </c>
      <c r="B227" s="24" t="s">
        <v>94</v>
      </c>
      <c r="C227" s="25">
        <v>1256</v>
      </c>
      <c r="D227" s="43" t="s">
        <v>607</v>
      </c>
      <c r="E227" s="1" t="s">
        <v>608</v>
      </c>
      <c r="F227" s="25" t="s">
        <v>26</v>
      </c>
      <c r="G227" s="43" t="s">
        <v>233</v>
      </c>
      <c r="H227" s="47" t="s">
        <v>39</v>
      </c>
      <c r="I227" s="43" t="s">
        <v>28</v>
      </c>
      <c r="J227" s="2" t="s">
        <v>38</v>
      </c>
      <c r="K227" s="47" t="s">
        <v>39</v>
      </c>
      <c r="L227" s="57"/>
      <c r="M227" s="5"/>
      <c r="N227" s="5"/>
      <c r="O227" s="5"/>
      <c r="P227" s="109">
        <v>3.524E-2</v>
      </c>
      <c r="Q227" s="109">
        <v>3.524E-2</v>
      </c>
      <c r="R227" s="64" t="s">
        <v>609</v>
      </c>
      <c r="S227" s="68" t="s">
        <v>41</v>
      </c>
      <c r="T227" s="4" t="s">
        <v>42</v>
      </c>
      <c r="U227" s="1" t="s">
        <v>43</v>
      </c>
      <c r="V227" s="1"/>
      <c r="W227" s="25"/>
    </row>
    <row r="228" spans="1:23" ht="42.75" customHeight="1" x14ac:dyDescent="0.25">
      <c r="A228" s="95" t="s">
        <v>56</v>
      </c>
      <c r="B228" s="24" t="s">
        <v>94</v>
      </c>
      <c r="C228" s="25">
        <v>1256</v>
      </c>
      <c r="D228" s="43" t="s">
        <v>610</v>
      </c>
      <c r="E228" s="1" t="s">
        <v>591</v>
      </c>
      <c r="F228" s="25" t="s">
        <v>26</v>
      </c>
      <c r="G228" s="43" t="s">
        <v>233</v>
      </c>
      <c r="H228" s="47" t="s">
        <v>39</v>
      </c>
      <c r="I228" s="43" t="s">
        <v>37</v>
      </c>
      <c r="J228" s="2" t="s">
        <v>38</v>
      </c>
      <c r="K228" s="47" t="s">
        <v>39</v>
      </c>
      <c r="L228" s="57"/>
      <c r="M228" s="5"/>
      <c r="N228" s="5"/>
      <c r="O228" s="5"/>
      <c r="P228" s="109">
        <v>1.0571999999999999</v>
      </c>
      <c r="Q228" s="109">
        <v>1.0571999999999999</v>
      </c>
      <c r="R228" s="64" t="s">
        <v>611</v>
      </c>
      <c r="S228" s="68" t="s">
        <v>41</v>
      </c>
      <c r="T228" s="4" t="s">
        <v>42</v>
      </c>
      <c r="U228" s="1" t="s">
        <v>43</v>
      </c>
      <c r="V228" s="1"/>
      <c r="W228" s="25"/>
    </row>
    <row r="229" spans="1:23" ht="42.75" x14ac:dyDescent="0.25">
      <c r="A229" s="95" t="s">
        <v>56</v>
      </c>
      <c r="B229" s="24" t="s">
        <v>94</v>
      </c>
      <c r="C229" s="25">
        <v>1256</v>
      </c>
      <c r="D229" s="43" t="s">
        <v>612</v>
      </c>
      <c r="E229" s="1" t="s">
        <v>613</v>
      </c>
      <c r="F229" s="25" t="s">
        <v>26</v>
      </c>
      <c r="G229" s="43" t="s">
        <v>35</v>
      </c>
      <c r="H229" s="47" t="s">
        <v>36</v>
      </c>
      <c r="I229" s="43" t="s">
        <v>51</v>
      </c>
      <c r="J229" s="2" t="s">
        <v>11</v>
      </c>
      <c r="K229" s="47" t="s">
        <v>49</v>
      </c>
      <c r="L229" s="57"/>
      <c r="M229" s="3">
        <v>1.048673</v>
      </c>
      <c r="N229" s="3">
        <v>1.048673</v>
      </c>
      <c r="O229" s="3">
        <v>0</v>
      </c>
      <c r="P229" s="109">
        <v>1.048673</v>
      </c>
      <c r="Q229" s="109">
        <v>1.048673</v>
      </c>
      <c r="R229" s="64" t="s">
        <v>618</v>
      </c>
      <c r="S229" s="68" t="s">
        <v>41</v>
      </c>
      <c r="T229" s="4" t="s">
        <v>42</v>
      </c>
      <c r="U229" s="1" t="s">
        <v>43</v>
      </c>
      <c r="V229" s="1"/>
      <c r="W229" s="25"/>
    </row>
    <row r="230" spans="1:23" ht="43.5" customHeight="1" thickBot="1" x14ac:dyDescent="0.3">
      <c r="A230" s="96" t="s">
        <v>56</v>
      </c>
      <c r="B230" s="26" t="s">
        <v>94</v>
      </c>
      <c r="C230" s="32">
        <v>1256</v>
      </c>
      <c r="D230" s="44" t="s">
        <v>614</v>
      </c>
      <c r="E230" s="27" t="s">
        <v>615</v>
      </c>
      <c r="F230" s="32" t="s">
        <v>26</v>
      </c>
      <c r="G230" s="44" t="s">
        <v>233</v>
      </c>
      <c r="H230" s="48" t="s">
        <v>39</v>
      </c>
      <c r="I230" s="44" t="s">
        <v>37</v>
      </c>
      <c r="J230" s="28" t="s">
        <v>38</v>
      </c>
      <c r="K230" s="48" t="s">
        <v>39</v>
      </c>
      <c r="L230" s="58"/>
      <c r="M230" s="29"/>
      <c r="N230" s="29"/>
      <c r="O230" s="29"/>
      <c r="P230" s="110">
        <v>0.1</v>
      </c>
      <c r="Q230" s="110">
        <v>0.1</v>
      </c>
      <c r="R230" s="65" t="s">
        <v>611</v>
      </c>
      <c r="S230" s="69" t="s">
        <v>41</v>
      </c>
      <c r="T230" s="31" t="s">
        <v>42</v>
      </c>
      <c r="U230" s="27" t="s">
        <v>43</v>
      </c>
      <c r="V230" s="27"/>
      <c r="W230" s="32"/>
    </row>
    <row r="231" spans="1:23" ht="42.75" customHeight="1" x14ac:dyDescent="0.25">
      <c r="A231" s="91" t="s">
        <v>56</v>
      </c>
      <c r="B231" s="18" t="s">
        <v>619</v>
      </c>
      <c r="C231" s="23">
        <v>1318</v>
      </c>
      <c r="D231" s="42" t="s">
        <v>311</v>
      </c>
      <c r="E231" s="19" t="s">
        <v>620</v>
      </c>
      <c r="F231" s="23" t="s">
        <v>22</v>
      </c>
      <c r="G231" s="42" t="s">
        <v>173</v>
      </c>
      <c r="H231" s="46" t="s">
        <v>36</v>
      </c>
      <c r="I231" s="42" t="s">
        <v>24</v>
      </c>
      <c r="J231" s="20" t="s">
        <v>11</v>
      </c>
      <c r="K231" s="46" t="s">
        <v>120</v>
      </c>
      <c r="L231" s="53"/>
      <c r="M231" s="98">
        <v>1.3</v>
      </c>
      <c r="N231" s="98">
        <v>1.3</v>
      </c>
      <c r="O231" s="98">
        <v>1.3</v>
      </c>
      <c r="P231" s="54">
        <v>1.3</v>
      </c>
      <c r="Q231" s="54">
        <v>1.3</v>
      </c>
      <c r="R231" s="63"/>
      <c r="S231" s="67" t="s">
        <v>41</v>
      </c>
      <c r="T231" s="22" t="s">
        <v>42</v>
      </c>
      <c r="U231" s="19" t="s">
        <v>43</v>
      </c>
      <c r="V231" s="19"/>
      <c r="W231" s="23"/>
    </row>
    <row r="232" spans="1:23" ht="114" customHeight="1" x14ac:dyDescent="0.25">
      <c r="A232" s="92" t="s">
        <v>56</v>
      </c>
      <c r="B232" s="24" t="s">
        <v>619</v>
      </c>
      <c r="C232" s="25">
        <v>1318</v>
      </c>
      <c r="D232" s="43" t="s">
        <v>268</v>
      </c>
      <c r="E232" s="1" t="s">
        <v>621</v>
      </c>
      <c r="F232" s="25" t="s">
        <v>26</v>
      </c>
      <c r="G232" s="43" t="s">
        <v>29</v>
      </c>
      <c r="H232" s="47" t="s">
        <v>39</v>
      </c>
      <c r="I232" s="43" t="s">
        <v>28</v>
      </c>
      <c r="J232" s="2" t="s">
        <v>38</v>
      </c>
      <c r="K232" s="47" t="s">
        <v>39</v>
      </c>
      <c r="L232" s="57"/>
      <c r="M232" s="5"/>
      <c r="N232" s="5"/>
      <c r="O232" s="5"/>
      <c r="P232" s="56"/>
      <c r="Q232" s="56"/>
      <c r="R232" s="64"/>
      <c r="S232" s="68" t="s">
        <v>41</v>
      </c>
      <c r="T232" s="4" t="s">
        <v>42</v>
      </c>
      <c r="U232" s="1" t="s">
        <v>43</v>
      </c>
      <c r="V232" s="1"/>
      <c r="W232" s="25"/>
    </row>
    <row r="233" spans="1:23" ht="57.75" customHeight="1" thickBot="1" x14ac:dyDescent="0.3">
      <c r="A233" s="93" t="s">
        <v>56</v>
      </c>
      <c r="B233" s="26" t="s">
        <v>619</v>
      </c>
      <c r="C233" s="32">
        <v>1318</v>
      </c>
      <c r="D233" s="44" t="s">
        <v>622</v>
      </c>
      <c r="E233" s="27" t="s">
        <v>623</v>
      </c>
      <c r="F233" s="32" t="s">
        <v>26</v>
      </c>
      <c r="G233" s="44" t="s">
        <v>27</v>
      </c>
      <c r="H233" s="48" t="s">
        <v>39</v>
      </c>
      <c r="I233" s="44" t="s">
        <v>37</v>
      </c>
      <c r="J233" s="28" t="s">
        <v>38</v>
      </c>
      <c r="K233" s="48" t="s">
        <v>39</v>
      </c>
      <c r="L233" s="58"/>
      <c r="M233" s="29"/>
      <c r="N233" s="29"/>
      <c r="O233" s="29"/>
      <c r="P233" s="59"/>
      <c r="Q233" s="59"/>
      <c r="R233" s="65"/>
      <c r="S233" s="69" t="s">
        <v>41</v>
      </c>
      <c r="T233" s="31" t="s">
        <v>42</v>
      </c>
      <c r="U233" s="27" t="s">
        <v>43</v>
      </c>
      <c r="V233" s="27"/>
      <c r="W233" s="32"/>
    </row>
    <row r="234" spans="1:23" ht="57" customHeight="1" x14ac:dyDescent="0.25">
      <c r="A234" s="94" t="s">
        <v>56</v>
      </c>
      <c r="B234" s="18" t="s">
        <v>85</v>
      </c>
      <c r="C234" s="23">
        <v>1252</v>
      </c>
      <c r="D234" s="42" t="s">
        <v>624</v>
      </c>
      <c r="E234" s="19" t="s">
        <v>645</v>
      </c>
      <c r="F234" s="23" t="s">
        <v>26</v>
      </c>
      <c r="G234" s="42" t="s">
        <v>47</v>
      </c>
      <c r="H234" s="46" t="s">
        <v>36</v>
      </c>
      <c r="I234" s="100" t="s">
        <v>117</v>
      </c>
      <c r="J234" s="20" t="s">
        <v>10</v>
      </c>
      <c r="K234" s="46" t="s">
        <v>120</v>
      </c>
      <c r="L234" s="76">
        <v>16.578859919725602</v>
      </c>
      <c r="M234" s="21"/>
      <c r="N234" s="21"/>
      <c r="O234" s="21"/>
      <c r="P234" s="54"/>
      <c r="Q234" s="54"/>
      <c r="R234" s="63"/>
      <c r="S234" s="67" t="s">
        <v>410</v>
      </c>
      <c r="T234" s="22" t="s">
        <v>411</v>
      </c>
      <c r="U234" s="19" t="s">
        <v>43</v>
      </c>
      <c r="V234" s="19" t="s">
        <v>117</v>
      </c>
      <c r="W234" s="23"/>
    </row>
    <row r="235" spans="1:23" ht="57" customHeight="1" x14ac:dyDescent="0.25">
      <c r="A235" s="95" t="s">
        <v>56</v>
      </c>
      <c r="B235" s="24" t="s">
        <v>85</v>
      </c>
      <c r="C235" s="25">
        <v>1252</v>
      </c>
      <c r="D235" s="43" t="s">
        <v>624</v>
      </c>
      <c r="E235" s="1" t="s">
        <v>646</v>
      </c>
      <c r="F235" s="25" t="s">
        <v>26</v>
      </c>
      <c r="G235" s="43" t="s">
        <v>35</v>
      </c>
      <c r="H235" s="47" t="s">
        <v>36</v>
      </c>
      <c r="I235" s="99" t="s">
        <v>24</v>
      </c>
      <c r="J235" s="2" t="s">
        <v>11</v>
      </c>
      <c r="K235" s="47" t="s">
        <v>120</v>
      </c>
      <c r="L235" s="57"/>
      <c r="M235" s="3">
        <v>-2.1036445245901598</v>
      </c>
      <c r="N235" s="3">
        <v>-2.1036445245901598</v>
      </c>
      <c r="O235" s="3">
        <v>-2.1036445245901598</v>
      </c>
      <c r="P235" s="56"/>
      <c r="Q235" s="56"/>
      <c r="R235" s="64"/>
      <c r="S235" s="68" t="s">
        <v>410</v>
      </c>
      <c r="T235" s="4" t="s">
        <v>411</v>
      </c>
      <c r="U235" s="1" t="s">
        <v>43</v>
      </c>
      <c r="V235" s="1" t="s">
        <v>24</v>
      </c>
      <c r="W235" s="25"/>
    </row>
    <row r="236" spans="1:23" ht="57" customHeight="1" x14ac:dyDescent="0.25">
      <c r="A236" s="95" t="s">
        <v>56</v>
      </c>
      <c r="B236" s="24" t="s">
        <v>85</v>
      </c>
      <c r="C236" s="25">
        <v>1252</v>
      </c>
      <c r="D236" s="43" t="s">
        <v>624</v>
      </c>
      <c r="E236" s="111" t="s">
        <v>644</v>
      </c>
      <c r="F236" s="25" t="s">
        <v>26</v>
      </c>
      <c r="G236" s="43" t="s">
        <v>625</v>
      </c>
      <c r="H236" s="47" t="s">
        <v>36</v>
      </c>
      <c r="I236" s="43" t="s">
        <v>30</v>
      </c>
      <c r="J236" s="2" t="s">
        <v>38</v>
      </c>
      <c r="K236" s="47" t="s">
        <v>39</v>
      </c>
      <c r="L236" s="57"/>
      <c r="M236" s="5"/>
      <c r="N236" s="5"/>
      <c r="O236" s="5"/>
      <c r="P236" s="56"/>
      <c r="Q236" s="56">
        <v>2.6</v>
      </c>
      <c r="R236" s="64"/>
      <c r="S236" s="68" t="s">
        <v>157</v>
      </c>
      <c r="T236" s="4" t="s">
        <v>158</v>
      </c>
      <c r="U236" s="1" t="s">
        <v>43</v>
      </c>
      <c r="V236" s="1" t="s">
        <v>24</v>
      </c>
      <c r="W236" s="25"/>
    </row>
    <row r="237" spans="1:23" ht="57" customHeight="1" x14ac:dyDescent="0.25">
      <c r="A237" s="95" t="s">
        <v>56</v>
      </c>
      <c r="B237" s="24" t="s">
        <v>85</v>
      </c>
      <c r="C237" s="25">
        <v>1252</v>
      </c>
      <c r="D237" s="43" t="s">
        <v>624</v>
      </c>
      <c r="E237" s="111" t="s">
        <v>643</v>
      </c>
      <c r="F237" s="25" t="s">
        <v>26</v>
      </c>
      <c r="G237" s="43" t="s">
        <v>625</v>
      </c>
      <c r="H237" s="47" t="s">
        <v>36</v>
      </c>
      <c r="I237" s="43" t="s">
        <v>24</v>
      </c>
      <c r="J237" s="2" t="s">
        <v>11</v>
      </c>
      <c r="K237" s="47" t="s">
        <v>120</v>
      </c>
      <c r="L237" s="57"/>
      <c r="M237" s="3">
        <v>0.20121647150663499</v>
      </c>
      <c r="N237" s="3">
        <v>0.20121647150663499</v>
      </c>
      <c r="O237" s="3">
        <v>0.20121647150663499</v>
      </c>
      <c r="P237" s="56"/>
      <c r="Q237" s="56"/>
      <c r="R237" s="64"/>
      <c r="S237" s="68"/>
      <c r="T237" s="4"/>
      <c r="U237" s="1"/>
      <c r="V237" s="1"/>
      <c r="W237" s="25"/>
    </row>
    <row r="238" spans="1:23" ht="85.5" customHeight="1" x14ac:dyDescent="0.25">
      <c r="A238" s="95" t="s">
        <v>56</v>
      </c>
      <c r="B238" s="24" t="s">
        <v>85</v>
      </c>
      <c r="C238" s="25">
        <v>1252</v>
      </c>
      <c r="D238" s="43" t="s">
        <v>624</v>
      </c>
      <c r="E238" s="1" t="s">
        <v>1234</v>
      </c>
      <c r="F238" s="25" t="s">
        <v>46</v>
      </c>
      <c r="G238" s="43" t="s">
        <v>626</v>
      </c>
      <c r="H238" s="47" t="s">
        <v>119</v>
      </c>
      <c r="I238" s="99" t="s">
        <v>51</v>
      </c>
      <c r="J238" s="2" t="s">
        <v>11</v>
      </c>
      <c r="K238" s="47" t="s">
        <v>49</v>
      </c>
      <c r="L238" s="57"/>
      <c r="M238" s="3">
        <v>3.0873284426229499E-3</v>
      </c>
      <c r="N238" s="3">
        <v>3.0873284426229499E-3</v>
      </c>
      <c r="O238" s="3">
        <v>3.0873284426229499E-3</v>
      </c>
      <c r="P238" s="56"/>
      <c r="Q238" s="56"/>
      <c r="R238" s="64"/>
      <c r="S238" s="68" t="s">
        <v>41</v>
      </c>
      <c r="T238" s="4" t="s">
        <v>42</v>
      </c>
      <c r="U238" s="1" t="s">
        <v>43</v>
      </c>
      <c r="V238" s="1" t="s">
        <v>51</v>
      </c>
      <c r="W238" s="25"/>
    </row>
    <row r="239" spans="1:23" ht="85.5" customHeight="1" x14ac:dyDescent="0.25">
      <c r="A239" s="95" t="s">
        <v>56</v>
      </c>
      <c r="B239" s="24" t="s">
        <v>85</v>
      </c>
      <c r="C239" s="25">
        <v>1252</v>
      </c>
      <c r="D239" s="43" t="s">
        <v>624</v>
      </c>
      <c r="E239" s="1" t="s">
        <v>1235</v>
      </c>
      <c r="F239" s="25" t="s">
        <v>26</v>
      </c>
      <c r="G239" s="43" t="s">
        <v>626</v>
      </c>
      <c r="H239" s="47" t="s">
        <v>119</v>
      </c>
      <c r="I239" s="99" t="s">
        <v>37</v>
      </c>
      <c r="J239" s="2" t="s">
        <v>38</v>
      </c>
      <c r="K239" s="47" t="s">
        <v>39</v>
      </c>
      <c r="L239" s="57"/>
      <c r="M239" s="5"/>
      <c r="N239" s="5"/>
      <c r="O239" s="5"/>
      <c r="P239" s="56"/>
      <c r="Q239" s="56"/>
      <c r="R239" s="64"/>
      <c r="S239" s="68" t="s">
        <v>41</v>
      </c>
      <c r="T239" s="4" t="s">
        <v>42</v>
      </c>
      <c r="U239" s="1" t="s">
        <v>43</v>
      </c>
      <c r="V239" s="1" t="s">
        <v>51</v>
      </c>
      <c r="W239" s="25"/>
    </row>
    <row r="240" spans="1:23" ht="57" customHeight="1" x14ac:dyDescent="0.25">
      <c r="A240" s="95" t="s">
        <v>56</v>
      </c>
      <c r="B240" s="24" t="s">
        <v>85</v>
      </c>
      <c r="C240" s="25">
        <v>1252</v>
      </c>
      <c r="D240" s="43" t="s">
        <v>624</v>
      </c>
      <c r="E240" s="111" t="s">
        <v>627</v>
      </c>
      <c r="F240" s="25" t="s">
        <v>26</v>
      </c>
      <c r="G240" s="43" t="s">
        <v>175</v>
      </c>
      <c r="H240" s="47" t="s">
        <v>36</v>
      </c>
      <c r="I240" s="99" t="s">
        <v>37</v>
      </c>
      <c r="J240" s="2" t="s">
        <v>38</v>
      </c>
      <c r="K240" s="47" t="s">
        <v>39</v>
      </c>
      <c r="L240" s="57"/>
      <c r="M240" s="5"/>
      <c r="N240" s="5"/>
      <c r="O240" s="5"/>
      <c r="P240" s="56"/>
      <c r="Q240" s="56"/>
      <c r="R240" s="64"/>
      <c r="S240" s="68" t="s">
        <v>157</v>
      </c>
      <c r="T240" s="4" t="s">
        <v>158</v>
      </c>
      <c r="U240" s="1" t="s">
        <v>43</v>
      </c>
      <c r="V240" s="1" t="s">
        <v>24</v>
      </c>
      <c r="W240" s="25"/>
    </row>
    <row r="241" spans="1:23" ht="58.5" customHeight="1" x14ac:dyDescent="0.25">
      <c r="A241" s="95">
        <v>0</v>
      </c>
      <c r="B241" s="24" t="s">
        <v>85</v>
      </c>
      <c r="C241" s="25">
        <v>1252</v>
      </c>
      <c r="D241" s="43" t="s">
        <v>628</v>
      </c>
      <c r="E241" s="1" t="s">
        <v>629</v>
      </c>
      <c r="F241" s="25" t="s">
        <v>22</v>
      </c>
      <c r="G241" s="43" t="s">
        <v>133</v>
      </c>
      <c r="H241" s="47" t="s">
        <v>36</v>
      </c>
      <c r="I241" s="43" t="s">
        <v>192</v>
      </c>
      <c r="J241" s="2" t="s">
        <v>11</v>
      </c>
      <c r="K241" s="47" t="s">
        <v>151</v>
      </c>
      <c r="L241" s="57"/>
      <c r="M241" s="3">
        <v>0.72023640655737697</v>
      </c>
      <c r="N241" s="3">
        <v>0.72023640655737697</v>
      </c>
      <c r="O241" s="3">
        <v>0.72023640655737697</v>
      </c>
      <c r="P241" s="56"/>
      <c r="Q241" s="56"/>
      <c r="R241" s="64"/>
      <c r="S241" s="68" t="s">
        <v>410</v>
      </c>
      <c r="T241" s="4" t="s">
        <v>411</v>
      </c>
      <c r="U241" s="1" t="s">
        <v>43</v>
      </c>
      <c r="V241" s="1" t="s">
        <v>192</v>
      </c>
      <c r="W241" s="25"/>
    </row>
    <row r="242" spans="1:23" ht="99.75" customHeight="1" x14ac:dyDescent="0.25">
      <c r="A242" s="95" t="s">
        <v>56</v>
      </c>
      <c r="B242" s="24" t="s">
        <v>85</v>
      </c>
      <c r="C242" s="25">
        <v>1252</v>
      </c>
      <c r="D242" s="43" t="s">
        <v>630</v>
      </c>
      <c r="E242" s="1" t="s">
        <v>631</v>
      </c>
      <c r="F242" s="25" t="s">
        <v>26</v>
      </c>
      <c r="G242" s="43" t="s">
        <v>155</v>
      </c>
      <c r="H242" s="47" t="s">
        <v>39</v>
      </c>
      <c r="I242" s="99" t="s">
        <v>37</v>
      </c>
      <c r="J242" s="2" t="s">
        <v>38</v>
      </c>
      <c r="K242" s="47" t="s">
        <v>39</v>
      </c>
      <c r="L242" s="57"/>
      <c r="M242" s="5"/>
      <c r="N242" s="5"/>
      <c r="O242" s="5"/>
      <c r="P242" s="56"/>
      <c r="Q242" s="56"/>
      <c r="R242" s="64"/>
      <c r="S242" s="68" t="s">
        <v>41</v>
      </c>
      <c r="T242" s="4" t="s">
        <v>42</v>
      </c>
      <c r="U242" s="1" t="s">
        <v>43</v>
      </c>
      <c r="V242" s="1" t="s">
        <v>24</v>
      </c>
      <c r="W242" s="25"/>
    </row>
    <row r="243" spans="1:23" ht="99.75" customHeight="1" x14ac:dyDescent="0.25">
      <c r="A243" s="95" t="s">
        <v>56</v>
      </c>
      <c r="B243" s="24" t="s">
        <v>85</v>
      </c>
      <c r="C243" s="25">
        <v>1252</v>
      </c>
      <c r="D243" s="43" t="s">
        <v>632</v>
      </c>
      <c r="E243" s="1" t="s">
        <v>633</v>
      </c>
      <c r="F243" s="25" t="s">
        <v>26</v>
      </c>
      <c r="G243" s="43" t="s">
        <v>155</v>
      </c>
      <c r="H243" s="47" t="s">
        <v>39</v>
      </c>
      <c r="I243" s="99" t="s">
        <v>37</v>
      </c>
      <c r="J243" s="2" t="s">
        <v>38</v>
      </c>
      <c r="K243" s="47" t="s">
        <v>39</v>
      </c>
      <c r="L243" s="57"/>
      <c r="M243" s="5"/>
      <c r="N243" s="5"/>
      <c r="O243" s="5"/>
      <c r="P243" s="56"/>
      <c r="Q243" s="56"/>
      <c r="R243" s="64"/>
      <c r="S243" s="68" t="s">
        <v>41</v>
      </c>
      <c r="T243" s="4" t="s">
        <v>42</v>
      </c>
      <c r="U243" s="1" t="s">
        <v>43</v>
      </c>
      <c r="V243" s="1" t="s">
        <v>24</v>
      </c>
      <c r="W243" s="25"/>
    </row>
    <row r="244" spans="1:23" ht="85.5" customHeight="1" x14ac:dyDescent="0.25">
      <c r="A244" s="95" t="s">
        <v>56</v>
      </c>
      <c r="B244" s="24" t="s">
        <v>85</v>
      </c>
      <c r="C244" s="25">
        <v>1252</v>
      </c>
      <c r="D244" s="43" t="s">
        <v>634</v>
      </c>
      <c r="E244" s="1" t="s">
        <v>635</v>
      </c>
      <c r="F244" s="25" t="s">
        <v>26</v>
      </c>
      <c r="G244" s="43" t="s">
        <v>356</v>
      </c>
      <c r="H244" s="47" t="s">
        <v>39</v>
      </c>
      <c r="I244" s="43" t="s">
        <v>28</v>
      </c>
      <c r="J244" s="2" t="s">
        <v>38</v>
      </c>
      <c r="K244" s="47" t="s">
        <v>39</v>
      </c>
      <c r="L244" s="57"/>
      <c r="M244" s="5"/>
      <c r="N244" s="5"/>
      <c r="O244" s="5"/>
      <c r="P244" s="56"/>
      <c r="Q244" s="56"/>
      <c r="R244" s="64"/>
      <c r="S244" s="68" t="s">
        <v>157</v>
      </c>
      <c r="T244" s="4" t="s">
        <v>158</v>
      </c>
      <c r="U244" s="1" t="s">
        <v>43</v>
      </c>
      <c r="V244" s="1" t="s">
        <v>28</v>
      </c>
      <c r="W244" s="25"/>
    </row>
    <row r="245" spans="1:23" ht="114" customHeight="1" x14ac:dyDescent="0.25">
      <c r="A245" s="95" t="s">
        <v>56</v>
      </c>
      <c r="B245" s="24" t="s">
        <v>85</v>
      </c>
      <c r="C245" s="25">
        <v>1252</v>
      </c>
      <c r="D245" s="43" t="s">
        <v>636</v>
      </c>
      <c r="E245" s="1" t="s">
        <v>637</v>
      </c>
      <c r="F245" s="25" t="s">
        <v>26</v>
      </c>
      <c r="G245" s="43" t="s">
        <v>161</v>
      </c>
      <c r="H245" s="47" t="s">
        <v>39</v>
      </c>
      <c r="I245" s="43" t="s">
        <v>28</v>
      </c>
      <c r="J245" s="2" t="s">
        <v>38</v>
      </c>
      <c r="K245" s="47" t="s">
        <v>39</v>
      </c>
      <c r="L245" s="57"/>
      <c r="M245" s="5"/>
      <c r="N245" s="5"/>
      <c r="O245" s="5"/>
      <c r="P245" s="56"/>
      <c r="Q245" s="56"/>
      <c r="R245" s="64"/>
      <c r="S245" s="68" t="s">
        <v>410</v>
      </c>
      <c r="T245" s="4" t="s">
        <v>411</v>
      </c>
      <c r="U245" s="1" t="s">
        <v>43</v>
      </c>
      <c r="V245" s="1" t="s">
        <v>28</v>
      </c>
      <c r="W245" s="25"/>
    </row>
    <row r="246" spans="1:23" ht="128.25" customHeight="1" x14ac:dyDescent="0.25">
      <c r="A246" s="95" t="s">
        <v>56</v>
      </c>
      <c r="B246" s="24" t="s">
        <v>85</v>
      </c>
      <c r="C246" s="25">
        <v>1252</v>
      </c>
      <c r="D246" s="43" t="s">
        <v>638</v>
      </c>
      <c r="E246" s="1" t="s">
        <v>639</v>
      </c>
      <c r="F246" s="25" t="s">
        <v>26</v>
      </c>
      <c r="G246" s="43" t="s">
        <v>29</v>
      </c>
      <c r="H246" s="47" t="s">
        <v>39</v>
      </c>
      <c r="I246" s="43" t="s">
        <v>28</v>
      </c>
      <c r="J246" s="2" t="s">
        <v>38</v>
      </c>
      <c r="K246" s="47" t="s">
        <v>39</v>
      </c>
      <c r="L246" s="57"/>
      <c r="M246" s="5"/>
      <c r="N246" s="5"/>
      <c r="O246" s="5"/>
      <c r="P246" s="56"/>
      <c r="Q246" s="56"/>
      <c r="R246" s="64"/>
      <c r="S246" s="68" t="s">
        <v>157</v>
      </c>
      <c r="T246" s="4" t="s">
        <v>158</v>
      </c>
      <c r="U246" s="1" t="s">
        <v>43</v>
      </c>
      <c r="V246" s="1" t="s">
        <v>28</v>
      </c>
      <c r="W246" s="25"/>
    </row>
    <row r="247" spans="1:23" ht="57" customHeight="1" x14ac:dyDescent="0.25">
      <c r="A247" s="95" t="s">
        <v>56</v>
      </c>
      <c r="B247" s="24" t="s">
        <v>85</v>
      </c>
      <c r="C247" s="25">
        <v>1252</v>
      </c>
      <c r="D247" s="43" t="s">
        <v>598</v>
      </c>
      <c r="E247" s="1" t="s">
        <v>640</v>
      </c>
      <c r="F247" s="25" t="s">
        <v>22</v>
      </c>
      <c r="G247" s="43" t="s">
        <v>140</v>
      </c>
      <c r="H247" s="47" t="s">
        <v>39</v>
      </c>
      <c r="I247" s="99" t="s">
        <v>24</v>
      </c>
      <c r="J247" s="2" t="s">
        <v>11</v>
      </c>
      <c r="K247" s="47" t="s">
        <v>120</v>
      </c>
      <c r="L247" s="57"/>
      <c r="M247" s="3">
        <v>4</v>
      </c>
      <c r="N247" s="3">
        <v>4</v>
      </c>
      <c r="O247" s="3">
        <v>0</v>
      </c>
      <c r="P247" s="56"/>
      <c r="Q247" s="56"/>
      <c r="R247" s="64"/>
      <c r="S247" s="68" t="s">
        <v>157</v>
      </c>
      <c r="T247" s="4" t="s">
        <v>158</v>
      </c>
      <c r="U247" s="1" t="s">
        <v>43</v>
      </c>
      <c r="V247" s="1" t="s">
        <v>37</v>
      </c>
      <c r="W247" s="25"/>
    </row>
    <row r="248" spans="1:23" ht="86.25" customHeight="1" thickBot="1" x14ac:dyDescent="0.3">
      <c r="A248" s="96" t="s">
        <v>56</v>
      </c>
      <c r="B248" s="26" t="s">
        <v>85</v>
      </c>
      <c r="C248" s="32">
        <v>1252</v>
      </c>
      <c r="D248" s="44" t="s">
        <v>641</v>
      </c>
      <c r="E248" s="27" t="s">
        <v>642</v>
      </c>
      <c r="F248" s="32" t="s">
        <v>26</v>
      </c>
      <c r="G248" s="44" t="s">
        <v>27</v>
      </c>
      <c r="H248" s="48" t="s">
        <v>39</v>
      </c>
      <c r="I248" s="44" t="s">
        <v>28</v>
      </c>
      <c r="J248" s="28" t="s">
        <v>38</v>
      </c>
      <c r="K248" s="48" t="s">
        <v>39</v>
      </c>
      <c r="L248" s="58"/>
      <c r="M248" s="29"/>
      <c r="N248" s="29"/>
      <c r="O248" s="29"/>
      <c r="P248" s="59"/>
      <c r="Q248" s="59"/>
      <c r="R248" s="65"/>
      <c r="S248" s="69" t="s">
        <v>157</v>
      </c>
      <c r="T248" s="31" t="s">
        <v>158</v>
      </c>
      <c r="U248" s="27" t="s">
        <v>43</v>
      </c>
      <c r="V248" s="27" t="s">
        <v>28</v>
      </c>
      <c r="W248" s="32"/>
    </row>
    <row r="249" spans="1:23" ht="57" customHeight="1" x14ac:dyDescent="0.25">
      <c r="A249" s="94" t="s">
        <v>56</v>
      </c>
      <c r="B249" s="18" t="s">
        <v>89</v>
      </c>
      <c r="C249" s="23">
        <v>1100</v>
      </c>
      <c r="D249" s="42" t="s">
        <v>647</v>
      </c>
      <c r="E249" s="19" t="s">
        <v>648</v>
      </c>
      <c r="F249" s="23" t="s">
        <v>26</v>
      </c>
      <c r="G249" s="42" t="s">
        <v>116</v>
      </c>
      <c r="H249" s="46" t="s">
        <v>119</v>
      </c>
      <c r="I249" s="42" t="s">
        <v>399</v>
      </c>
      <c r="J249" s="20" t="s">
        <v>10</v>
      </c>
      <c r="K249" s="46" t="s">
        <v>49</v>
      </c>
      <c r="L249" s="76">
        <v>2.092222925155208</v>
      </c>
      <c r="M249" s="21"/>
      <c r="N249" s="21"/>
      <c r="O249" s="21"/>
      <c r="P249" s="54">
        <v>2.092222925155208</v>
      </c>
      <c r="Q249" s="54">
        <v>2.092222925155208</v>
      </c>
      <c r="R249" s="63" t="s">
        <v>649</v>
      </c>
      <c r="S249" s="67" t="s">
        <v>41</v>
      </c>
      <c r="T249" s="22" t="s">
        <v>42</v>
      </c>
      <c r="U249" s="19" t="s">
        <v>43</v>
      </c>
      <c r="V249" s="19" t="s">
        <v>399</v>
      </c>
      <c r="W249" s="23"/>
    </row>
    <row r="250" spans="1:23" ht="57" customHeight="1" x14ac:dyDescent="0.25">
      <c r="A250" s="95" t="s">
        <v>56</v>
      </c>
      <c r="B250" s="24" t="s">
        <v>89</v>
      </c>
      <c r="C250" s="25">
        <v>1100</v>
      </c>
      <c r="D250" s="43" t="s">
        <v>647</v>
      </c>
      <c r="E250" s="1" t="s">
        <v>648</v>
      </c>
      <c r="F250" s="25" t="s">
        <v>22</v>
      </c>
      <c r="G250" s="43" t="s">
        <v>116</v>
      </c>
      <c r="H250" s="47" t="s">
        <v>119</v>
      </c>
      <c r="I250" s="43" t="s">
        <v>399</v>
      </c>
      <c r="J250" s="2" t="s">
        <v>10</v>
      </c>
      <c r="K250" s="47" t="s">
        <v>49</v>
      </c>
      <c r="L250" s="55">
        <v>2.092222925155208</v>
      </c>
      <c r="M250" s="5"/>
      <c r="N250" s="5"/>
      <c r="O250" s="5"/>
      <c r="P250" s="56">
        <v>2.092222925155208</v>
      </c>
      <c r="Q250" s="56">
        <v>2.092222925155208</v>
      </c>
      <c r="R250" s="64" t="s">
        <v>650</v>
      </c>
      <c r="S250" s="68" t="s">
        <v>41</v>
      </c>
      <c r="T250" s="4" t="s">
        <v>42</v>
      </c>
      <c r="U250" s="1" t="s">
        <v>43</v>
      </c>
      <c r="V250" s="1" t="s">
        <v>399</v>
      </c>
      <c r="W250" s="25"/>
    </row>
    <row r="251" spans="1:23" ht="71.25" customHeight="1" x14ac:dyDescent="0.25">
      <c r="A251" s="95" t="s">
        <v>56</v>
      </c>
      <c r="B251" s="24" t="s">
        <v>89</v>
      </c>
      <c r="C251" s="25">
        <v>1100</v>
      </c>
      <c r="D251" s="43" t="s">
        <v>647</v>
      </c>
      <c r="E251" s="1" t="s">
        <v>651</v>
      </c>
      <c r="F251" s="25" t="s">
        <v>26</v>
      </c>
      <c r="G251" s="43" t="s">
        <v>122</v>
      </c>
      <c r="H251" s="47" t="s">
        <v>119</v>
      </c>
      <c r="I251" s="43" t="s">
        <v>397</v>
      </c>
      <c r="J251" s="2" t="s">
        <v>11</v>
      </c>
      <c r="K251" s="47" t="s">
        <v>49</v>
      </c>
      <c r="L251" s="57"/>
      <c r="M251" s="3">
        <v>1E-3</v>
      </c>
      <c r="N251" s="3">
        <v>0</v>
      </c>
      <c r="O251" s="3">
        <v>1E-3</v>
      </c>
      <c r="P251" s="56">
        <v>1E-3</v>
      </c>
      <c r="Q251" s="56">
        <v>1E-3</v>
      </c>
      <c r="R251" s="64" t="s">
        <v>652</v>
      </c>
      <c r="S251" s="68" t="s">
        <v>41</v>
      </c>
      <c r="T251" s="4" t="s">
        <v>42</v>
      </c>
      <c r="U251" s="1" t="s">
        <v>43</v>
      </c>
      <c r="V251" s="1" t="s">
        <v>397</v>
      </c>
      <c r="W251" s="25"/>
    </row>
    <row r="252" spans="1:23" ht="85.5" customHeight="1" x14ac:dyDescent="0.25">
      <c r="A252" s="95" t="s">
        <v>56</v>
      </c>
      <c r="B252" s="24" t="s">
        <v>89</v>
      </c>
      <c r="C252" s="25">
        <v>1100</v>
      </c>
      <c r="D252" s="43" t="s">
        <v>647</v>
      </c>
      <c r="E252" s="1" t="s">
        <v>651</v>
      </c>
      <c r="F252" s="25" t="s">
        <v>22</v>
      </c>
      <c r="G252" s="43" t="s">
        <v>122</v>
      </c>
      <c r="H252" s="47" t="s">
        <v>119</v>
      </c>
      <c r="I252" s="43" t="s">
        <v>397</v>
      </c>
      <c r="J252" s="2" t="s">
        <v>11</v>
      </c>
      <c r="K252" s="47" t="s">
        <v>49</v>
      </c>
      <c r="L252" s="57"/>
      <c r="M252" s="3">
        <v>1E-3</v>
      </c>
      <c r="N252" s="3">
        <v>0</v>
      </c>
      <c r="O252" s="3">
        <v>1E-3</v>
      </c>
      <c r="P252" s="56">
        <v>1E-3</v>
      </c>
      <c r="Q252" s="56">
        <v>1E-3</v>
      </c>
      <c r="R252" s="64" t="s">
        <v>653</v>
      </c>
      <c r="S252" s="68" t="s">
        <v>41</v>
      </c>
      <c r="T252" s="4" t="s">
        <v>42</v>
      </c>
      <c r="U252" s="1" t="s">
        <v>43</v>
      </c>
      <c r="V252" s="1" t="s">
        <v>397</v>
      </c>
      <c r="W252" s="25"/>
    </row>
    <row r="253" spans="1:23" ht="57" customHeight="1" x14ac:dyDescent="0.25">
      <c r="A253" s="95" t="s">
        <v>56</v>
      </c>
      <c r="B253" s="24" t="s">
        <v>89</v>
      </c>
      <c r="C253" s="25">
        <v>1100</v>
      </c>
      <c r="D253" s="43" t="s">
        <v>654</v>
      </c>
      <c r="E253" s="1" t="s">
        <v>655</v>
      </c>
      <c r="F253" s="25" t="s">
        <v>26</v>
      </c>
      <c r="G253" s="43" t="s">
        <v>47</v>
      </c>
      <c r="H253" s="47" t="s">
        <v>36</v>
      </c>
      <c r="I253" s="43" t="s">
        <v>30</v>
      </c>
      <c r="J253" s="2" t="s">
        <v>38</v>
      </c>
      <c r="K253" s="47" t="s">
        <v>39</v>
      </c>
      <c r="L253" s="57"/>
      <c r="M253" s="5"/>
      <c r="N253" s="5"/>
      <c r="O253" s="5"/>
      <c r="P253" s="56">
        <v>1.7109892450397921</v>
      </c>
      <c r="Q253" s="56">
        <v>1.7109892450397921</v>
      </c>
      <c r="R253" s="64" t="s">
        <v>656</v>
      </c>
      <c r="S253" s="68" t="s">
        <v>41</v>
      </c>
      <c r="T253" s="4" t="s">
        <v>42</v>
      </c>
      <c r="U253" s="1" t="s">
        <v>43</v>
      </c>
      <c r="V253" s="1" t="s">
        <v>30</v>
      </c>
      <c r="W253" s="25"/>
    </row>
    <row r="254" spans="1:23" ht="114" customHeight="1" x14ac:dyDescent="0.25">
      <c r="A254" s="95" t="s">
        <v>56</v>
      </c>
      <c r="B254" s="24" t="s">
        <v>89</v>
      </c>
      <c r="C254" s="25">
        <v>1100</v>
      </c>
      <c r="D254" s="43" t="s">
        <v>654</v>
      </c>
      <c r="E254" s="1" t="s">
        <v>657</v>
      </c>
      <c r="F254" s="25" t="s">
        <v>26</v>
      </c>
      <c r="G254" s="43" t="s">
        <v>47</v>
      </c>
      <c r="H254" s="47" t="s">
        <v>36</v>
      </c>
      <c r="I254" s="43" t="s">
        <v>37</v>
      </c>
      <c r="J254" s="2" t="s">
        <v>38</v>
      </c>
      <c r="K254" s="47" t="s">
        <v>39</v>
      </c>
      <c r="L254" s="57"/>
      <c r="M254" s="5"/>
      <c r="N254" s="5"/>
      <c r="O254" s="5"/>
      <c r="P254" s="56">
        <v>1.7109892450397921</v>
      </c>
      <c r="Q254" s="56">
        <v>1.7109892450397921</v>
      </c>
      <c r="R254" s="64" t="s">
        <v>658</v>
      </c>
      <c r="S254" s="68" t="s">
        <v>41</v>
      </c>
      <c r="T254" s="4" t="s">
        <v>42</v>
      </c>
      <c r="U254" s="1" t="s">
        <v>43</v>
      </c>
      <c r="V254" s="1" t="s">
        <v>37</v>
      </c>
      <c r="W254" s="25"/>
    </row>
    <row r="255" spans="1:23" ht="57" customHeight="1" x14ac:dyDescent="0.25">
      <c r="A255" s="95" t="s">
        <v>56</v>
      </c>
      <c r="B255" s="24" t="s">
        <v>89</v>
      </c>
      <c r="C255" s="25">
        <v>1100</v>
      </c>
      <c r="D255" s="43" t="s">
        <v>654</v>
      </c>
      <c r="E255" s="1" t="s">
        <v>659</v>
      </c>
      <c r="F255" s="25" t="s">
        <v>26</v>
      </c>
      <c r="G255" s="43" t="s">
        <v>35</v>
      </c>
      <c r="H255" s="47" t="s">
        <v>36</v>
      </c>
      <c r="I255" s="43" t="s">
        <v>30</v>
      </c>
      <c r="J255" s="2" t="s">
        <v>38</v>
      </c>
      <c r="K255" s="47" t="s">
        <v>39</v>
      </c>
      <c r="L255" s="57"/>
      <c r="M255" s="5"/>
      <c r="N255" s="5"/>
      <c r="O255" s="5"/>
      <c r="P255" s="56">
        <v>1E-3</v>
      </c>
      <c r="Q255" s="56">
        <v>1E-3</v>
      </c>
      <c r="R255" s="64" t="s">
        <v>656</v>
      </c>
      <c r="S255" s="68" t="s">
        <v>41</v>
      </c>
      <c r="T255" s="4" t="s">
        <v>42</v>
      </c>
      <c r="U255" s="1" t="s">
        <v>43</v>
      </c>
      <c r="V255" s="1" t="s">
        <v>30</v>
      </c>
      <c r="W255" s="25"/>
    </row>
    <row r="256" spans="1:23" ht="114" customHeight="1" x14ac:dyDescent="0.25">
      <c r="A256" s="95" t="s">
        <v>56</v>
      </c>
      <c r="B256" s="24" t="s">
        <v>89</v>
      </c>
      <c r="C256" s="25">
        <v>1100</v>
      </c>
      <c r="D256" s="43" t="s">
        <v>654</v>
      </c>
      <c r="E256" s="1" t="s">
        <v>660</v>
      </c>
      <c r="F256" s="25" t="s">
        <v>26</v>
      </c>
      <c r="G256" s="43" t="s">
        <v>35</v>
      </c>
      <c r="H256" s="47" t="s">
        <v>36</v>
      </c>
      <c r="I256" s="43" t="s">
        <v>37</v>
      </c>
      <c r="J256" s="2" t="s">
        <v>38</v>
      </c>
      <c r="K256" s="47" t="s">
        <v>39</v>
      </c>
      <c r="L256" s="57"/>
      <c r="M256" s="5"/>
      <c r="N256" s="5"/>
      <c r="O256" s="5"/>
      <c r="P256" s="56">
        <v>9.9999999999999995E-7</v>
      </c>
      <c r="Q256" s="56">
        <v>9.9999999999999995E-7</v>
      </c>
      <c r="R256" s="64" t="s">
        <v>658</v>
      </c>
      <c r="S256" s="68" t="s">
        <v>41</v>
      </c>
      <c r="T256" s="4" t="s">
        <v>42</v>
      </c>
      <c r="U256" s="1" t="s">
        <v>43</v>
      </c>
      <c r="V256" s="1" t="s">
        <v>37</v>
      </c>
      <c r="W256" s="25"/>
    </row>
    <row r="257" spans="1:23" ht="57" customHeight="1" x14ac:dyDescent="0.25">
      <c r="A257" s="95" t="s">
        <v>56</v>
      </c>
      <c r="B257" s="24" t="s">
        <v>89</v>
      </c>
      <c r="C257" s="25">
        <v>1100</v>
      </c>
      <c r="D257" s="43" t="s">
        <v>661</v>
      </c>
      <c r="E257" s="1" t="s">
        <v>655</v>
      </c>
      <c r="F257" s="25" t="s">
        <v>22</v>
      </c>
      <c r="G257" s="43" t="s">
        <v>47</v>
      </c>
      <c r="H257" s="47" t="s">
        <v>36</v>
      </c>
      <c r="I257" s="43" t="s">
        <v>30</v>
      </c>
      <c r="J257" s="2" t="s">
        <v>38</v>
      </c>
      <c r="K257" s="47" t="s">
        <v>39</v>
      </c>
      <c r="L257" s="57"/>
      <c r="M257" s="5"/>
      <c r="N257" s="5"/>
      <c r="O257" s="5"/>
      <c r="P257" s="56">
        <v>1.7109892450397921</v>
      </c>
      <c r="Q257" s="56">
        <v>1.7109892450397921</v>
      </c>
      <c r="R257" s="64" t="s">
        <v>656</v>
      </c>
      <c r="S257" s="68" t="s">
        <v>41</v>
      </c>
      <c r="T257" s="4" t="s">
        <v>42</v>
      </c>
      <c r="U257" s="1" t="s">
        <v>43</v>
      </c>
      <c r="V257" s="1" t="s">
        <v>30</v>
      </c>
      <c r="W257" s="25"/>
    </row>
    <row r="258" spans="1:23" ht="114" customHeight="1" x14ac:dyDescent="0.25">
      <c r="A258" s="95" t="s">
        <v>56</v>
      </c>
      <c r="B258" s="24" t="s">
        <v>89</v>
      </c>
      <c r="C258" s="25">
        <v>1100</v>
      </c>
      <c r="D258" s="43" t="s">
        <v>661</v>
      </c>
      <c r="E258" s="1" t="s">
        <v>657</v>
      </c>
      <c r="F258" s="25" t="s">
        <v>22</v>
      </c>
      <c r="G258" s="43" t="s">
        <v>47</v>
      </c>
      <c r="H258" s="47" t="s">
        <v>36</v>
      </c>
      <c r="I258" s="43" t="s">
        <v>117</v>
      </c>
      <c r="J258" s="2" t="s">
        <v>10</v>
      </c>
      <c r="K258" s="47" t="s">
        <v>120</v>
      </c>
      <c r="L258" s="55">
        <v>1.7109892450397921</v>
      </c>
      <c r="M258" s="5"/>
      <c r="N258" s="5"/>
      <c r="O258" s="5"/>
      <c r="P258" s="56">
        <v>1.7109892450397921</v>
      </c>
      <c r="Q258" s="56">
        <v>1.7109892450397921</v>
      </c>
      <c r="R258" s="64" t="s">
        <v>658</v>
      </c>
      <c r="S258" s="68" t="s">
        <v>41</v>
      </c>
      <c r="T258" s="4" t="s">
        <v>42</v>
      </c>
      <c r="U258" s="1" t="s">
        <v>43</v>
      </c>
      <c r="V258" s="1" t="s">
        <v>117</v>
      </c>
      <c r="W258" s="25"/>
    </row>
    <row r="259" spans="1:23" ht="57" customHeight="1" x14ac:dyDescent="0.25">
      <c r="A259" s="95" t="s">
        <v>56</v>
      </c>
      <c r="B259" s="24" t="s">
        <v>89</v>
      </c>
      <c r="C259" s="25">
        <v>1100</v>
      </c>
      <c r="D259" s="43" t="s">
        <v>661</v>
      </c>
      <c r="E259" s="1" t="s">
        <v>659</v>
      </c>
      <c r="F259" s="25" t="s">
        <v>22</v>
      </c>
      <c r="G259" s="43" t="s">
        <v>35</v>
      </c>
      <c r="H259" s="47" t="s">
        <v>36</v>
      </c>
      <c r="I259" s="43" t="s">
        <v>30</v>
      </c>
      <c r="J259" s="2" t="s">
        <v>38</v>
      </c>
      <c r="K259" s="47" t="s">
        <v>39</v>
      </c>
      <c r="L259" s="57"/>
      <c r="M259" s="5"/>
      <c r="N259" s="5"/>
      <c r="O259" s="5"/>
      <c r="P259" s="56">
        <v>1E-3</v>
      </c>
      <c r="Q259" s="56">
        <v>1E-3</v>
      </c>
      <c r="R259" s="64" t="s">
        <v>656</v>
      </c>
      <c r="S259" s="68" t="s">
        <v>41</v>
      </c>
      <c r="T259" s="4" t="s">
        <v>42</v>
      </c>
      <c r="U259" s="1" t="s">
        <v>43</v>
      </c>
      <c r="V259" s="1" t="s">
        <v>30</v>
      </c>
      <c r="W259" s="25"/>
    </row>
    <row r="260" spans="1:23" ht="114" customHeight="1" x14ac:dyDescent="0.25">
      <c r="A260" s="95" t="s">
        <v>56</v>
      </c>
      <c r="B260" s="24" t="s">
        <v>89</v>
      </c>
      <c r="C260" s="25">
        <v>1100</v>
      </c>
      <c r="D260" s="43" t="s">
        <v>661</v>
      </c>
      <c r="E260" s="1" t="s">
        <v>660</v>
      </c>
      <c r="F260" s="25" t="s">
        <v>22</v>
      </c>
      <c r="G260" s="43" t="s">
        <v>35</v>
      </c>
      <c r="H260" s="47" t="s">
        <v>36</v>
      </c>
      <c r="I260" s="43" t="s">
        <v>24</v>
      </c>
      <c r="J260" s="2" t="s">
        <v>11</v>
      </c>
      <c r="K260" s="47" t="s">
        <v>120</v>
      </c>
      <c r="L260" s="57"/>
      <c r="M260" s="3">
        <v>9.9999999999999995E-7</v>
      </c>
      <c r="N260" s="3">
        <v>9.9999999999999995E-7</v>
      </c>
      <c r="O260" s="3">
        <v>0</v>
      </c>
      <c r="P260" s="56">
        <v>9.9999999999999995E-7</v>
      </c>
      <c r="Q260" s="56">
        <v>9.9999999999999995E-7</v>
      </c>
      <c r="R260" s="64" t="s">
        <v>658</v>
      </c>
      <c r="S260" s="68" t="s">
        <v>41</v>
      </c>
      <c r="T260" s="4" t="s">
        <v>42</v>
      </c>
      <c r="U260" s="1" t="s">
        <v>43</v>
      </c>
      <c r="V260" s="1" t="s">
        <v>24</v>
      </c>
      <c r="W260" s="25"/>
    </row>
    <row r="261" spans="1:23" ht="99.75" customHeight="1" x14ac:dyDescent="0.25">
      <c r="A261" s="95" t="s">
        <v>56</v>
      </c>
      <c r="B261" s="24" t="s">
        <v>89</v>
      </c>
      <c r="C261" s="25">
        <v>1100</v>
      </c>
      <c r="D261" s="43" t="s">
        <v>71</v>
      </c>
      <c r="E261" s="1" t="s">
        <v>662</v>
      </c>
      <c r="F261" s="25" t="s">
        <v>26</v>
      </c>
      <c r="G261" s="43" t="s">
        <v>189</v>
      </c>
      <c r="H261" s="47" t="s">
        <v>36</v>
      </c>
      <c r="I261" s="43" t="s">
        <v>117</v>
      </c>
      <c r="J261" s="2" t="s">
        <v>10</v>
      </c>
      <c r="K261" s="47" t="s">
        <v>120</v>
      </c>
      <c r="L261" s="55">
        <v>0.20377585714285712</v>
      </c>
      <c r="M261" s="5"/>
      <c r="N261" s="5"/>
      <c r="O261" s="5"/>
      <c r="P261" s="56">
        <v>0.20377585714285712</v>
      </c>
      <c r="Q261" s="56">
        <v>0.20377585714285712</v>
      </c>
      <c r="R261" s="64" t="s">
        <v>663</v>
      </c>
      <c r="S261" s="68" t="s">
        <v>41</v>
      </c>
      <c r="T261" s="4" t="s">
        <v>42</v>
      </c>
      <c r="U261" s="1" t="s">
        <v>43</v>
      </c>
      <c r="V261" s="1" t="s">
        <v>117</v>
      </c>
      <c r="W261" s="25"/>
    </row>
    <row r="262" spans="1:23" ht="99.75" customHeight="1" x14ac:dyDescent="0.25">
      <c r="A262" s="95" t="s">
        <v>56</v>
      </c>
      <c r="B262" s="24" t="s">
        <v>89</v>
      </c>
      <c r="C262" s="25">
        <v>1100</v>
      </c>
      <c r="D262" s="43" t="s">
        <v>71</v>
      </c>
      <c r="E262" s="1" t="s">
        <v>662</v>
      </c>
      <c r="F262" s="25" t="s">
        <v>26</v>
      </c>
      <c r="G262" s="43" t="s">
        <v>438</v>
      </c>
      <c r="H262" s="47" t="s">
        <v>36</v>
      </c>
      <c r="I262" s="43" t="s">
        <v>24</v>
      </c>
      <c r="J262" s="2" t="s">
        <v>11</v>
      </c>
      <c r="K262" s="47" t="s">
        <v>120</v>
      </c>
      <c r="L262" s="57"/>
      <c r="M262" s="3">
        <v>9.9999999999999995E-7</v>
      </c>
      <c r="N262" s="3">
        <v>9.9999999999999995E-7</v>
      </c>
      <c r="O262" s="3">
        <v>0</v>
      </c>
      <c r="P262" s="56">
        <v>9.9999999999999995E-7</v>
      </c>
      <c r="Q262" s="56">
        <v>9.9999999999999995E-7</v>
      </c>
      <c r="R262" s="64" t="s">
        <v>664</v>
      </c>
      <c r="S262" s="68" t="s">
        <v>41</v>
      </c>
      <c r="T262" s="4" t="s">
        <v>42</v>
      </c>
      <c r="U262" s="1" t="s">
        <v>43</v>
      </c>
      <c r="V262" s="1" t="s">
        <v>24</v>
      </c>
      <c r="W262" s="25"/>
    </row>
    <row r="263" spans="1:23" ht="99.75" customHeight="1" x14ac:dyDescent="0.25">
      <c r="A263" s="95" t="s">
        <v>56</v>
      </c>
      <c r="B263" s="24" t="s">
        <v>89</v>
      </c>
      <c r="C263" s="25">
        <v>1100</v>
      </c>
      <c r="D263" s="43" t="s">
        <v>71</v>
      </c>
      <c r="E263" s="1" t="s">
        <v>662</v>
      </c>
      <c r="F263" s="25" t="s">
        <v>22</v>
      </c>
      <c r="G263" s="43" t="s">
        <v>189</v>
      </c>
      <c r="H263" s="47" t="s">
        <v>36</v>
      </c>
      <c r="I263" s="43" t="s">
        <v>117</v>
      </c>
      <c r="J263" s="2" t="s">
        <v>10</v>
      </c>
      <c r="K263" s="47" t="s">
        <v>120</v>
      </c>
      <c r="L263" s="55">
        <v>0.20377585714285712</v>
      </c>
      <c r="M263" s="5"/>
      <c r="N263" s="5"/>
      <c r="O263" s="5"/>
      <c r="P263" s="56">
        <v>0.20377585714285712</v>
      </c>
      <c r="Q263" s="56">
        <v>0.20377585714285712</v>
      </c>
      <c r="R263" s="64" t="s">
        <v>665</v>
      </c>
      <c r="S263" s="68" t="s">
        <v>41</v>
      </c>
      <c r="T263" s="4" t="s">
        <v>42</v>
      </c>
      <c r="U263" s="1" t="s">
        <v>43</v>
      </c>
      <c r="V263" s="1" t="s">
        <v>117</v>
      </c>
      <c r="W263" s="25"/>
    </row>
    <row r="264" spans="1:23" ht="99.75" customHeight="1" x14ac:dyDescent="0.25">
      <c r="A264" s="95" t="s">
        <v>56</v>
      </c>
      <c r="B264" s="24" t="s">
        <v>89</v>
      </c>
      <c r="C264" s="25">
        <v>1100</v>
      </c>
      <c r="D264" s="43" t="s">
        <v>71</v>
      </c>
      <c r="E264" s="1" t="s">
        <v>662</v>
      </c>
      <c r="F264" s="25" t="s">
        <v>22</v>
      </c>
      <c r="G264" s="43" t="s">
        <v>438</v>
      </c>
      <c r="H264" s="47" t="s">
        <v>36</v>
      </c>
      <c r="I264" s="43" t="s">
        <v>24</v>
      </c>
      <c r="J264" s="2" t="s">
        <v>11</v>
      </c>
      <c r="K264" s="47" t="s">
        <v>120</v>
      </c>
      <c r="L264" s="57"/>
      <c r="M264" s="3">
        <v>9.9999999999999995E-7</v>
      </c>
      <c r="N264" s="3">
        <v>9.9999999999999995E-7</v>
      </c>
      <c r="O264" s="3">
        <v>0</v>
      </c>
      <c r="P264" s="56">
        <v>9.9999999999999995E-7</v>
      </c>
      <c r="Q264" s="56">
        <v>9.9999999999999995E-7</v>
      </c>
      <c r="R264" s="64" t="s">
        <v>666</v>
      </c>
      <c r="S264" s="68" t="s">
        <v>41</v>
      </c>
      <c r="T264" s="4" t="s">
        <v>42</v>
      </c>
      <c r="U264" s="1" t="s">
        <v>43</v>
      </c>
      <c r="V264" s="1" t="s">
        <v>24</v>
      </c>
      <c r="W264" s="25"/>
    </row>
    <row r="265" spans="1:23" ht="171" customHeight="1" x14ac:dyDescent="0.25">
      <c r="A265" s="95" t="s">
        <v>56</v>
      </c>
      <c r="B265" s="24" t="s">
        <v>89</v>
      </c>
      <c r="C265" s="25">
        <v>1100</v>
      </c>
      <c r="D265" s="43" t="s">
        <v>667</v>
      </c>
      <c r="E265" s="1" t="s">
        <v>668</v>
      </c>
      <c r="F265" s="25" t="s">
        <v>26</v>
      </c>
      <c r="G265" s="43" t="s">
        <v>23</v>
      </c>
      <c r="H265" s="47" t="s">
        <v>36</v>
      </c>
      <c r="I265" s="43" t="s">
        <v>24</v>
      </c>
      <c r="J265" s="2" t="s">
        <v>11</v>
      </c>
      <c r="K265" s="47" t="s">
        <v>120</v>
      </c>
      <c r="L265" s="57"/>
      <c r="M265" s="3">
        <v>0.11935320408163265</v>
      </c>
      <c r="N265" s="3">
        <v>0.11935320408163265</v>
      </c>
      <c r="O265" s="3">
        <v>0</v>
      </c>
      <c r="P265" s="56">
        <v>0.11935320408163265</v>
      </c>
      <c r="Q265" s="56">
        <v>0.11935320408163265</v>
      </c>
      <c r="R265" s="64" t="s">
        <v>669</v>
      </c>
      <c r="S265" s="68" t="s">
        <v>41</v>
      </c>
      <c r="T265" s="4" t="s">
        <v>42</v>
      </c>
      <c r="U265" s="1" t="s">
        <v>43</v>
      </c>
      <c r="V265" s="1" t="s">
        <v>24</v>
      </c>
      <c r="W265" s="25"/>
    </row>
    <row r="266" spans="1:23" ht="171" customHeight="1" x14ac:dyDescent="0.25">
      <c r="A266" s="95" t="s">
        <v>56</v>
      </c>
      <c r="B266" s="24" t="s">
        <v>89</v>
      </c>
      <c r="C266" s="25">
        <v>1100</v>
      </c>
      <c r="D266" s="43" t="s">
        <v>667</v>
      </c>
      <c r="E266" s="1" t="s">
        <v>668</v>
      </c>
      <c r="F266" s="25" t="s">
        <v>22</v>
      </c>
      <c r="G266" s="43" t="s">
        <v>23</v>
      </c>
      <c r="H266" s="47" t="s">
        <v>36</v>
      </c>
      <c r="I266" s="43" t="s">
        <v>24</v>
      </c>
      <c r="J266" s="2" t="s">
        <v>11</v>
      </c>
      <c r="K266" s="47" t="s">
        <v>120</v>
      </c>
      <c r="L266" s="57"/>
      <c r="M266" s="3">
        <v>0.11935320408163265</v>
      </c>
      <c r="N266" s="3">
        <v>0.11935320408163265</v>
      </c>
      <c r="O266" s="3">
        <v>0</v>
      </c>
      <c r="P266" s="56">
        <v>0.11935320408163265</v>
      </c>
      <c r="Q266" s="56">
        <v>0.11935320408163265</v>
      </c>
      <c r="R266" s="64" t="s">
        <v>670</v>
      </c>
      <c r="S266" s="68" t="s">
        <v>41</v>
      </c>
      <c r="T266" s="4" t="s">
        <v>42</v>
      </c>
      <c r="U266" s="1" t="s">
        <v>43</v>
      </c>
      <c r="V266" s="1" t="s">
        <v>24</v>
      </c>
      <c r="W266" s="25"/>
    </row>
    <row r="267" spans="1:23" ht="99.75" customHeight="1" x14ac:dyDescent="0.25">
      <c r="A267" s="95" t="s">
        <v>56</v>
      </c>
      <c r="B267" s="24" t="s">
        <v>89</v>
      </c>
      <c r="C267" s="25">
        <v>1100</v>
      </c>
      <c r="D267" s="43" t="s">
        <v>671</v>
      </c>
      <c r="E267" s="1" t="s">
        <v>672</v>
      </c>
      <c r="F267" s="25" t="s">
        <v>22</v>
      </c>
      <c r="G267" s="43" t="s">
        <v>173</v>
      </c>
      <c r="H267" s="47" t="s">
        <v>36</v>
      </c>
      <c r="I267" s="43" t="s">
        <v>24</v>
      </c>
      <c r="J267" s="2" t="s">
        <v>11</v>
      </c>
      <c r="K267" s="47" t="s">
        <v>120</v>
      </c>
      <c r="L267" s="57"/>
      <c r="M267" s="3">
        <v>0.03</v>
      </c>
      <c r="N267" s="3">
        <v>0.03</v>
      </c>
      <c r="O267" s="3">
        <v>0</v>
      </c>
      <c r="P267" s="56">
        <v>0.03</v>
      </c>
      <c r="Q267" s="56">
        <v>0.03</v>
      </c>
      <c r="R267" s="64" t="s">
        <v>673</v>
      </c>
      <c r="S267" s="68" t="s">
        <v>41</v>
      </c>
      <c r="T267" s="4" t="s">
        <v>42</v>
      </c>
      <c r="U267" s="1" t="s">
        <v>43</v>
      </c>
      <c r="V267" s="1" t="s">
        <v>24</v>
      </c>
      <c r="W267" s="25"/>
    </row>
    <row r="268" spans="1:23" ht="42.75" customHeight="1" x14ac:dyDescent="0.25">
      <c r="A268" s="95" t="s">
        <v>56</v>
      </c>
      <c r="B268" s="24" t="s">
        <v>89</v>
      </c>
      <c r="C268" s="25">
        <v>1100</v>
      </c>
      <c r="D268" s="43" t="s">
        <v>674</v>
      </c>
      <c r="E268" s="1" t="s">
        <v>675</v>
      </c>
      <c r="F268" s="25" t="s">
        <v>22</v>
      </c>
      <c r="G268" s="43" t="s">
        <v>465</v>
      </c>
      <c r="H268" s="47" t="s">
        <v>119</v>
      </c>
      <c r="I268" s="43" t="s">
        <v>199</v>
      </c>
      <c r="J268" s="198" t="s">
        <v>11</v>
      </c>
      <c r="K268" s="47" t="s">
        <v>151</v>
      </c>
      <c r="L268" s="57"/>
      <c r="M268" s="3">
        <v>9.9999999999999995E-7</v>
      </c>
      <c r="N268" s="197">
        <v>9.9999999999999995E-7</v>
      </c>
      <c r="O268" s="197">
        <v>9.9999999999999995E-7</v>
      </c>
      <c r="P268" s="56">
        <v>9.9999999999999995E-7</v>
      </c>
      <c r="Q268" s="56">
        <v>9.9999999999999995E-7</v>
      </c>
      <c r="R268" s="64" t="s">
        <v>677</v>
      </c>
      <c r="S268" s="68" t="s">
        <v>41</v>
      </c>
      <c r="T268" s="4" t="s">
        <v>42</v>
      </c>
      <c r="U268" s="1" t="s">
        <v>43</v>
      </c>
      <c r="V268" s="1" t="s">
        <v>676</v>
      </c>
      <c r="W268" s="25"/>
    </row>
    <row r="269" spans="1:23" ht="57" customHeight="1" x14ac:dyDescent="0.25">
      <c r="A269" s="95" t="s">
        <v>56</v>
      </c>
      <c r="B269" s="24" t="s">
        <v>89</v>
      </c>
      <c r="C269" s="25">
        <v>1100</v>
      </c>
      <c r="D269" s="43" t="s">
        <v>674</v>
      </c>
      <c r="E269" s="1" t="s">
        <v>675</v>
      </c>
      <c r="F269" s="25" t="s">
        <v>22</v>
      </c>
      <c r="G269" s="43" t="s">
        <v>465</v>
      </c>
      <c r="H269" s="47" t="s">
        <v>119</v>
      </c>
      <c r="I269" s="43" t="s">
        <v>199</v>
      </c>
      <c r="J269" s="2" t="s">
        <v>11</v>
      </c>
      <c r="K269" s="47" t="s">
        <v>151</v>
      </c>
      <c r="L269" s="57"/>
      <c r="M269" s="3">
        <v>0.01</v>
      </c>
      <c r="N269" s="3">
        <v>0.01</v>
      </c>
      <c r="O269" s="3">
        <v>0</v>
      </c>
      <c r="P269" s="56">
        <v>0.01</v>
      </c>
      <c r="Q269" s="56">
        <v>0.01</v>
      </c>
      <c r="R269" s="64" t="s">
        <v>677</v>
      </c>
      <c r="S269" s="68" t="s">
        <v>41</v>
      </c>
      <c r="T269" s="4" t="s">
        <v>42</v>
      </c>
      <c r="U269" s="1" t="s">
        <v>43</v>
      </c>
      <c r="V269" s="1" t="s">
        <v>199</v>
      </c>
      <c r="W269" s="25"/>
    </row>
    <row r="270" spans="1:23" ht="42.75" customHeight="1" x14ac:dyDescent="0.25">
      <c r="A270" s="95" t="s">
        <v>56</v>
      </c>
      <c r="B270" s="24" t="s">
        <v>89</v>
      </c>
      <c r="C270" s="25">
        <v>1100</v>
      </c>
      <c r="D270" s="43" t="s">
        <v>674</v>
      </c>
      <c r="E270" s="1" t="s">
        <v>675</v>
      </c>
      <c r="F270" s="25" t="s">
        <v>22</v>
      </c>
      <c r="G270" s="43" t="s">
        <v>678</v>
      </c>
      <c r="H270" s="47" t="s">
        <v>36</v>
      </c>
      <c r="I270" s="43" t="s">
        <v>199</v>
      </c>
      <c r="J270" s="198" t="s">
        <v>11</v>
      </c>
      <c r="K270" s="47" t="s">
        <v>151</v>
      </c>
      <c r="L270" s="57"/>
      <c r="M270" s="3">
        <v>9.9999999999999995E-7</v>
      </c>
      <c r="N270" s="197">
        <v>9.9999999999999995E-7</v>
      </c>
      <c r="O270" s="197">
        <v>9.9999999999999995E-7</v>
      </c>
      <c r="P270" s="56">
        <v>1E-4</v>
      </c>
      <c r="Q270" s="56">
        <v>1E-4</v>
      </c>
      <c r="R270" s="64" t="s">
        <v>677</v>
      </c>
      <c r="S270" s="68" t="s">
        <v>41</v>
      </c>
      <c r="T270" s="4" t="s">
        <v>42</v>
      </c>
      <c r="U270" s="1" t="s">
        <v>43</v>
      </c>
      <c r="V270" s="1" t="s">
        <v>676</v>
      </c>
      <c r="W270" s="25"/>
    </row>
    <row r="271" spans="1:23" ht="57" customHeight="1" x14ac:dyDescent="0.25">
      <c r="A271" s="95" t="s">
        <v>56</v>
      </c>
      <c r="B271" s="24" t="s">
        <v>89</v>
      </c>
      <c r="C271" s="25">
        <v>1100</v>
      </c>
      <c r="D271" s="43" t="s">
        <v>674</v>
      </c>
      <c r="E271" s="1" t="s">
        <v>675</v>
      </c>
      <c r="F271" s="25" t="s">
        <v>22</v>
      </c>
      <c r="G271" s="43" t="s">
        <v>678</v>
      </c>
      <c r="H271" s="47" t="s">
        <v>36</v>
      </c>
      <c r="I271" s="43" t="s">
        <v>199</v>
      </c>
      <c r="J271" s="2" t="s">
        <v>11</v>
      </c>
      <c r="K271" s="47" t="s">
        <v>151</v>
      </c>
      <c r="L271" s="57"/>
      <c r="M271" s="3">
        <v>0.01</v>
      </c>
      <c r="N271" s="3">
        <v>0.01</v>
      </c>
      <c r="O271" s="3">
        <v>0</v>
      </c>
      <c r="P271" s="56">
        <v>0.01</v>
      </c>
      <c r="Q271" s="56">
        <v>0.01</v>
      </c>
      <c r="R271" s="64" t="s">
        <v>677</v>
      </c>
      <c r="S271" s="68" t="s">
        <v>41</v>
      </c>
      <c r="T271" s="4" t="s">
        <v>42</v>
      </c>
      <c r="U271" s="1" t="s">
        <v>43</v>
      </c>
      <c r="V271" s="1" t="s">
        <v>199</v>
      </c>
      <c r="W271" s="25"/>
    </row>
    <row r="272" spans="1:23" ht="57" customHeight="1" x14ac:dyDescent="0.25">
      <c r="A272" s="95" t="s">
        <v>56</v>
      </c>
      <c r="B272" s="24" t="s">
        <v>89</v>
      </c>
      <c r="C272" s="25">
        <v>1100</v>
      </c>
      <c r="D272" s="43" t="s">
        <v>679</v>
      </c>
      <c r="E272" s="1" t="s">
        <v>680</v>
      </c>
      <c r="F272" s="25" t="s">
        <v>46</v>
      </c>
      <c r="G272" s="43" t="s">
        <v>233</v>
      </c>
      <c r="H272" s="47" t="s">
        <v>39</v>
      </c>
      <c r="I272" s="43" t="s">
        <v>51</v>
      </c>
      <c r="J272" s="198" t="s">
        <v>11</v>
      </c>
      <c r="K272" s="47" t="s">
        <v>49</v>
      </c>
      <c r="L272" s="57"/>
      <c r="M272" s="3">
        <v>9.9999999999999995E-7</v>
      </c>
      <c r="N272" s="197">
        <v>9.9999999999999995E-7</v>
      </c>
      <c r="O272" s="197">
        <v>9.9999999999999995E-7</v>
      </c>
      <c r="P272" s="196">
        <v>9.9999999999999995E-7</v>
      </c>
      <c r="Q272" s="56">
        <v>9.9999999999999995E-7</v>
      </c>
      <c r="R272" s="64" t="s">
        <v>681</v>
      </c>
      <c r="S272" s="68" t="s">
        <v>41</v>
      </c>
      <c r="T272" s="4" t="s">
        <v>42</v>
      </c>
      <c r="U272" s="1" t="s">
        <v>43</v>
      </c>
      <c r="V272" s="1" t="s">
        <v>48</v>
      </c>
      <c r="W272" s="25"/>
    </row>
    <row r="273" spans="1:23" ht="57" customHeight="1" x14ac:dyDescent="0.25">
      <c r="A273" s="95" t="s">
        <v>56</v>
      </c>
      <c r="B273" s="24" t="s">
        <v>89</v>
      </c>
      <c r="C273" s="25">
        <v>1100</v>
      </c>
      <c r="D273" s="43" t="s">
        <v>679</v>
      </c>
      <c r="E273" s="1" t="s">
        <v>680</v>
      </c>
      <c r="F273" s="25" t="s">
        <v>46</v>
      </c>
      <c r="G273" s="43" t="s">
        <v>233</v>
      </c>
      <c r="H273" s="47" t="s">
        <v>39</v>
      </c>
      <c r="I273" s="43" t="s">
        <v>51</v>
      </c>
      <c r="J273" s="2" t="s">
        <v>11</v>
      </c>
      <c r="K273" s="47" t="s">
        <v>49</v>
      </c>
      <c r="L273" s="57"/>
      <c r="M273" s="3">
        <v>10.954579574393735</v>
      </c>
      <c r="N273" s="3">
        <v>10.954579574393735</v>
      </c>
      <c r="O273" s="3">
        <v>0</v>
      </c>
      <c r="P273" s="56">
        <v>10.954579574393735</v>
      </c>
      <c r="Q273" s="56">
        <v>10.954579574393735</v>
      </c>
      <c r="R273" s="64" t="s">
        <v>682</v>
      </c>
      <c r="S273" s="68" t="s">
        <v>41</v>
      </c>
      <c r="T273" s="4" t="s">
        <v>42</v>
      </c>
      <c r="U273" s="1" t="s">
        <v>43</v>
      </c>
      <c r="V273" s="1" t="s">
        <v>51</v>
      </c>
      <c r="W273" s="25"/>
    </row>
    <row r="274" spans="1:23" ht="57" customHeight="1" x14ac:dyDescent="0.25">
      <c r="A274" s="95" t="s">
        <v>56</v>
      </c>
      <c r="B274" s="24" t="s">
        <v>89</v>
      </c>
      <c r="C274" s="25">
        <v>1100</v>
      </c>
      <c r="D274" s="43" t="s">
        <v>683</v>
      </c>
      <c r="E274" s="1" t="s">
        <v>684</v>
      </c>
      <c r="F274" s="25" t="s">
        <v>26</v>
      </c>
      <c r="G274" s="43" t="s">
        <v>183</v>
      </c>
      <c r="H274" s="47" t="s">
        <v>39</v>
      </c>
      <c r="I274" s="43" t="s">
        <v>30</v>
      </c>
      <c r="J274" s="2" t="s">
        <v>38</v>
      </c>
      <c r="K274" s="47" t="s">
        <v>39</v>
      </c>
      <c r="L274" s="57"/>
      <c r="M274" s="5"/>
      <c r="N274" s="5"/>
      <c r="O274" s="5"/>
      <c r="P274" s="56">
        <v>0.3418367346938776</v>
      </c>
      <c r="Q274" s="56">
        <v>0.3418367346938776</v>
      </c>
      <c r="R274" s="64" t="s">
        <v>685</v>
      </c>
      <c r="S274" s="68" t="s">
        <v>41</v>
      </c>
      <c r="T274" s="4" t="s">
        <v>42</v>
      </c>
      <c r="U274" s="1" t="s">
        <v>43</v>
      </c>
      <c r="V274" s="1" t="s">
        <v>30</v>
      </c>
      <c r="W274" s="25"/>
    </row>
    <row r="275" spans="1:23" ht="57" customHeight="1" x14ac:dyDescent="0.25">
      <c r="A275" s="95" t="s">
        <v>56</v>
      </c>
      <c r="B275" s="24" t="s">
        <v>89</v>
      </c>
      <c r="C275" s="25">
        <v>1100</v>
      </c>
      <c r="D275" s="43" t="s">
        <v>683</v>
      </c>
      <c r="E275" s="1" t="s">
        <v>684</v>
      </c>
      <c r="F275" s="25" t="s">
        <v>22</v>
      </c>
      <c r="G275" s="43" t="s">
        <v>183</v>
      </c>
      <c r="H275" s="47" t="s">
        <v>39</v>
      </c>
      <c r="I275" s="43" t="s">
        <v>30</v>
      </c>
      <c r="J275" s="2" t="s">
        <v>38</v>
      </c>
      <c r="K275" s="47" t="s">
        <v>39</v>
      </c>
      <c r="L275" s="57"/>
      <c r="M275" s="5"/>
      <c r="N275" s="5"/>
      <c r="O275" s="5"/>
      <c r="P275" s="56">
        <v>0.3418367346938776</v>
      </c>
      <c r="Q275" s="56">
        <v>0.3418367346938776</v>
      </c>
      <c r="R275" s="64" t="s">
        <v>685</v>
      </c>
      <c r="S275" s="68" t="s">
        <v>41</v>
      </c>
      <c r="T275" s="4" t="s">
        <v>42</v>
      </c>
      <c r="U275" s="1" t="s">
        <v>43</v>
      </c>
      <c r="V275" s="1" t="s">
        <v>30</v>
      </c>
      <c r="W275" s="25"/>
    </row>
    <row r="276" spans="1:23" ht="57" customHeight="1" x14ac:dyDescent="0.25">
      <c r="A276" s="95" t="s">
        <v>56</v>
      </c>
      <c r="B276" s="24" t="s">
        <v>89</v>
      </c>
      <c r="C276" s="25">
        <v>1100</v>
      </c>
      <c r="D276" s="43" t="s">
        <v>686</v>
      </c>
      <c r="E276" s="1" t="s">
        <v>687</v>
      </c>
      <c r="F276" s="25" t="s">
        <v>26</v>
      </c>
      <c r="G276" s="43" t="s">
        <v>356</v>
      </c>
      <c r="H276" s="47" t="s">
        <v>39</v>
      </c>
      <c r="I276" s="43" t="s">
        <v>245</v>
      </c>
      <c r="J276" s="2" t="s">
        <v>38</v>
      </c>
      <c r="K276" s="47" t="s">
        <v>39</v>
      </c>
      <c r="L276" s="57"/>
      <c r="M276" s="5"/>
      <c r="N276" s="5"/>
      <c r="O276" s="5"/>
      <c r="P276" s="56">
        <v>4.552142857142857</v>
      </c>
      <c r="Q276" s="56">
        <v>4.552142857142857</v>
      </c>
      <c r="R276" s="64" t="s">
        <v>688</v>
      </c>
      <c r="S276" s="68" t="s">
        <v>41</v>
      </c>
      <c r="T276" s="4" t="s">
        <v>42</v>
      </c>
      <c r="U276" s="1" t="s">
        <v>43</v>
      </c>
      <c r="V276" s="1" t="s">
        <v>245</v>
      </c>
      <c r="W276" s="25"/>
    </row>
    <row r="277" spans="1:23" ht="57" customHeight="1" x14ac:dyDescent="0.25">
      <c r="A277" s="95" t="s">
        <v>56</v>
      </c>
      <c r="B277" s="24" t="s">
        <v>89</v>
      </c>
      <c r="C277" s="25">
        <v>1100</v>
      </c>
      <c r="D277" s="43" t="s">
        <v>689</v>
      </c>
      <c r="E277" s="1" t="s">
        <v>687</v>
      </c>
      <c r="F277" s="25" t="s">
        <v>26</v>
      </c>
      <c r="G277" s="43" t="s">
        <v>356</v>
      </c>
      <c r="H277" s="47" t="s">
        <v>39</v>
      </c>
      <c r="I277" s="43" t="s">
        <v>247</v>
      </c>
      <c r="J277" s="2" t="s">
        <v>38</v>
      </c>
      <c r="K277" s="47" t="s">
        <v>39</v>
      </c>
      <c r="L277" s="57"/>
      <c r="M277" s="5"/>
      <c r="N277" s="5"/>
      <c r="O277" s="5"/>
      <c r="P277" s="56">
        <v>1</v>
      </c>
      <c r="Q277" s="56">
        <v>1</v>
      </c>
      <c r="R277" s="64" t="s">
        <v>688</v>
      </c>
      <c r="S277" s="68" t="s">
        <v>41</v>
      </c>
      <c r="T277" s="4" t="s">
        <v>42</v>
      </c>
      <c r="U277" s="1" t="s">
        <v>43</v>
      </c>
      <c r="V277" s="1" t="s">
        <v>247</v>
      </c>
      <c r="W277" s="25"/>
    </row>
    <row r="278" spans="1:23" ht="57" customHeight="1" x14ac:dyDescent="0.25">
      <c r="A278" s="95" t="s">
        <v>56</v>
      </c>
      <c r="B278" s="24" t="s">
        <v>89</v>
      </c>
      <c r="C278" s="25">
        <v>1100</v>
      </c>
      <c r="D278" s="43" t="s">
        <v>690</v>
      </c>
      <c r="E278" s="1" t="s">
        <v>691</v>
      </c>
      <c r="F278" s="25" t="s">
        <v>26</v>
      </c>
      <c r="G278" s="43" t="s">
        <v>27</v>
      </c>
      <c r="H278" s="47" t="s">
        <v>39</v>
      </c>
      <c r="I278" s="43" t="s">
        <v>28</v>
      </c>
      <c r="J278" s="2" t="s">
        <v>38</v>
      </c>
      <c r="K278" s="47" t="s">
        <v>39</v>
      </c>
      <c r="L278" s="57"/>
      <c r="M278" s="5"/>
      <c r="N278" s="5"/>
      <c r="O278" s="5"/>
      <c r="P278" s="56">
        <v>5.5650010204081628</v>
      </c>
      <c r="Q278" s="56">
        <v>5.5650010204081628</v>
      </c>
      <c r="R278" s="64" t="s">
        <v>692</v>
      </c>
      <c r="S278" s="68" t="s">
        <v>41</v>
      </c>
      <c r="T278" s="4" t="s">
        <v>42</v>
      </c>
      <c r="U278" s="1" t="s">
        <v>43</v>
      </c>
      <c r="V278" s="1" t="s">
        <v>28</v>
      </c>
      <c r="W278" s="25"/>
    </row>
    <row r="279" spans="1:23" ht="57" customHeight="1" x14ac:dyDescent="0.25">
      <c r="A279" s="95" t="s">
        <v>56</v>
      </c>
      <c r="B279" s="24" t="s">
        <v>89</v>
      </c>
      <c r="C279" s="25">
        <v>1100</v>
      </c>
      <c r="D279" s="43" t="s">
        <v>693</v>
      </c>
      <c r="E279" s="1" t="s">
        <v>694</v>
      </c>
      <c r="F279" s="25" t="s">
        <v>26</v>
      </c>
      <c r="G279" s="43" t="s">
        <v>29</v>
      </c>
      <c r="H279" s="47" t="s">
        <v>39</v>
      </c>
      <c r="I279" s="43" t="s">
        <v>28</v>
      </c>
      <c r="J279" s="2" t="s">
        <v>38</v>
      </c>
      <c r="K279" s="47" t="s">
        <v>39</v>
      </c>
      <c r="L279" s="57"/>
      <c r="M279" s="5"/>
      <c r="N279" s="5"/>
      <c r="O279" s="5"/>
      <c r="P279" s="56">
        <v>5.1540816326530612</v>
      </c>
      <c r="Q279" s="56">
        <v>5.1540816326530612</v>
      </c>
      <c r="R279" s="64" t="s">
        <v>695</v>
      </c>
      <c r="S279" s="68" t="s">
        <v>41</v>
      </c>
      <c r="T279" s="4" t="s">
        <v>42</v>
      </c>
      <c r="U279" s="1" t="s">
        <v>43</v>
      </c>
      <c r="V279" s="1" t="s">
        <v>28</v>
      </c>
      <c r="W279" s="25"/>
    </row>
    <row r="280" spans="1:23" ht="57" customHeight="1" x14ac:dyDescent="0.25">
      <c r="A280" s="95" t="s">
        <v>56</v>
      </c>
      <c r="B280" s="24" t="s">
        <v>89</v>
      </c>
      <c r="C280" s="25">
        <v>1100</v>
      </c>
      <c r="D280" s="43" t="s">
        <v>696</v>
      </c>
      <c r="E280" s="1" t="s">
        <v>697</v>
      </c>
      <c r="F280" s="25" t="s">
        <v>26</v>
      </c>
      <c r="G280" s="43" t="s">
        <v>496</v>
      </c>
      <c r="H280" s="47" t="s">
        <v>39</v>
      </c>
      <c r="I280" s="43" t="s">
        <v>28</v>
      </c>
      <c r="J280" s="2" t="s">
        <v>38</v>
      </c>
      <c r="K280" s="47" t="s">
        <v>39</v>
      </c>
      <c r="L280" s="57"/>
      <c r="M280" s="5"/>
      <c r="N280" s="5"/>
      <c r="O280" s="5"/>
      <c r="P280" s="56">
        <v>9.9999999999999995E-7</v>
      </c>
      <c r="Q280" s="56">
        <v>9.9999999999999995E-7</v>
      </c>
      <c r="R280" s="64" t="s">
        <v>698</v>
      </c>
      <c r="S280" s="68" t="s">
        <v>41</v>
      </c>
      <c r="T280" s="4" t="s">
        <v>42</v>
      </c>
      <c r="U280" s="1" t="s">
        <v>43</v>
      </c>
      <c r="V280" s="1" t="s">
        <v>28</v>
      </c>
      <c r="W280" s="25"/>
    </row>
    <row r="281" spans="1:23" ht="57" customHeight="1" x14ac:dyDescent="0.25">
      <c r="A281" s="95" t="s">
        <v>56</v>
      </c>
      <c r="B281" s="24" t="s">
        <v>89</v>
      </c>
      <c r="C281" s="25">
        <v>1100</v>
      </c>
      <c r="D281" s="43" t="s">
        <v>696</v>
      </c>
      <c r="E281" s="1" t="s">
        <v>697</v>
      </c>
      <c r="F281" s="25" t="s">
        <v>26</v>
      </c>
      <c r="G281" s="43" t="s">
        <v>564</v>
      </c>
      <c r="H281" s="47" t="s">
        <v>39</v>
      </c>
      <c r="I281" s="43" t="s">
        <v>28</v>
      </c>
      <c r="J281" s="2" t="s">
        <v>38</v>
      </c>
      <c r="K281" s="47" t="s">
        <v>39</v>
      </c>
      <c r="L281" s="57"/>
      <c r="M281" s="5"/>
      <c r="N281" s="5"/>
      <c r="O281" s="5"/>
      <c r="P281" s="56">
        <v>9.9999999999999995E-7</v>
      </c>
      <c r="Q281" s="56">
        <v>9.9999999999999995E-7</v>
      </c>
      <c r="R281" s="64" t="s">
        <v>698</v>
      </c>
      <c r="S281" s="68" t="s">
        <v>41</v>
      </c>
      <c r="T281" s="4" t="s">
        <v>42</v>
      </c>
      <c r="U281" s="1" t="s">
        <v>43</v>
      </c>
      <c r="V281" s="1" t="s">
        <v>28</v>
      </c>
      <c r="W281" s="25"/>
    </row>
    <row r="282" spans="1:23" ht="57" customHeight="1" x14ac:dyDescent="0.25">
      <c r="A282" s="95" t="s">
        <v>56</v>
      </c>
      <c r="B282" s="24" t="s">
        <v>89</v>
      </c>
      <c r="C282" s="25">
        <v>1100</v>
      </c>
      <c r="D282" s="43" t="s">
        <v>699</v>
      </c>
      <c r="E282" s="1" t="s">
        <v>700</v>
      </c>
      <c r="F282" s="25" t="s">
        <v>26</v>
      </c>
      <c r="G282" s="43" t="s">
        <v>166</v>
      </c>
      <c r="H282" s="47" t="s">
        <v>39</v>
      </c>
      <c r="I282" s="43" t="s">
        <v>247</v>
      </c>
      <c r="J282" s="2" t="s">
        <v>38</v>
      </c>
      <c r="K282" s="47" t="s">
        <v>39</v>
      </c>
      <c r="L282" s="57"/>
      <c r="M282" s="5"/>
      <c r="N282" s="5"/>
      <c r="O282" s="5"/>
      <c r="P282" s="56">
        <v>0.16887755102040816</v>
      </c>
      <c r="Q282" s="56">
        <v>0.16887755102040816</v>
      </c>
      <c r="R282" s="64" t="s">
        <v>701</v>
      </c>
      <c r="S282" s="68" t="s">
        <v>41</v>
      </c>
      <c r="T282" s="4" t="s">
        <v>42</v>
      </c>
      <c r="U282" s="1" t="s">
        <v>43</v>
      </c>
      <c r="V282" s="1" t="s">
        <v>247</v>
      </c>
      <c r="W282" s="25"/>
    </row>
    <row r="283" spans="1:23" ht="57" customHeight="1" x14ac:dyDescent="0.25">
      <c r="A283" s="95" t="s">
        <v>56</v>
      </c>
      <c r="B283" s="24" t="s">
        <v>89</v>
      </c>
      <c r="C283" s="25">
        <v>1100</v>
      </c>
      <c r="D283" s="43" t="s">
        <v>702</v>
      </c>
      <c r="E283" s="1" t="s">
        <v>703</v>
      </c>
      <c r="F283" s="25" t="s">
        <v>26</v>
      </c>
      <c r="G283" s="43" t="s">
        <v>242</v>
      </c>
      <c r="H283" s="47" t="s">
        <v>39</v>
      </c>
      <c r="I283" s="43" t="s">
        <v>37</v>
      </c>
      <c r="J283" s="2" t="s">
        <v>38</v>
      </c>
      <c r="K283" s="47" t="s">
        <v>39</v>
      </c>
      <c r="L283" s="57"/>
      <c r="M283" s="5"/>
      <c r="N283" s="5"/>
      <c r="O283" s="5"/>
      <c r="P283" s="56">
        <v>3.2856428571428573</v>
      </c>
      <c r="Q283" s="56">
        <v>3.2856428571428573</v>
      </c>
      <c r="R283" s="64" t="s">
        <v>704</v>
      </c>
      <c r="S283" s="68" t="s">
        <v>41</v>
      </c>
      <c r="T283" s="4" t="s">
        <v>42</v>
      </c>
      <c r="U283" s="1" t="s">
        <v>43</v>
      </c>
      <c r="V283" s="1" t="s">
        <v>37</v>
      </c>
      <c r="W283" s="25"/>
    </row>
    <row r="284" spans="1:23" ht="57" customHeight="1" x14ac:dyDescent="0.25">
      <c r="A284" s="95" t="s">
        <v>56</v>
      </c>
      <c r="B284" s="24" t="s">
        <v>89</v>
      </c>
      <c r="C284" s="25">
        <v>1100</v>
      </c>
      <c r="D284" s="43" t="s">
        <v>702</v>
      </c>
      <c r="E284" s="1" t="s">
        <v>703</v>
      </c>
      <c r="F284" s="25" t="s">
        <v>22</v>
      </c>
      <c r="G284" s="43" t="s">
        <v>242</v>
      </c>
      <c r="H284" s="47" t="s">
        <v>39</v>
      </c>
      <c r="I284" s="43" t="s">
        <v>24</v>
      </c>
      <c r="J284" s="2" t="s">
        <v>11</v>
      </c>
      <c r="K284" s="47" t="s">
        <v>120</v>
      </c>
      <c r="L284" s="57"/>
      <c r="M284" s="3">
        <v>3.2856428571428573</v>
      </c>
      <c r="N284" s="3">
        <v>3.2856428571428573</v>
      </c>
      <c r="O284" s="3">
        <v>0</v>
      </c>
      <c r="P284" s="56">
        <v>3.2856428571428573</v>
      </c>
      <c r="Q284" s="56">
        <v>3.2856428571428573</v>
      </c>
      <c r="R284" s="64" t="s">
        <v>705</v>
      </c>
      <c r="S284" s="68" t="s">
        <v>41</v>
      </c>
      <c r="T284" s="4" t="s">
        <v>42</v>
      </c>
      <c r="U284" s="1" t="s">
        <v>43</v>
      </c>
      <c r="V284" s="1" t="s">
        <v>24</v>
      </c>
      <c r="W284" s="25"/>
    </row>
    <row r="285" spans="1:23" ht="57" customHeight="1" x14ac:dyDescent="0.25">
      <c r="A285" s="95" t="s">
        <v>56</v>
      </c>
      <c r="B285" s="24" t="s">
        <v>89</v>
      </c>
      <c r="C285" s="25">
        <v>1100</v>
      </c>
      <c r="D285" s="43" t="s">
        <v>706</v>
      </c>
      <c r="E285" s="1" t="s">
        <v>707</v>
      </c>
      <c r="F285" s="25" t="s">
        <v>26</v>
      </c>
      <c r="G285" s="43" t="s">
        <v>230</v>
      </c>
      <c r="H285" s="47" t="s">
        <v>39</v>
      </c>
      <c r="I285" s="43" t="s">
        <v>28</v>
      </c>
      <c r="J285" s="2" t="s">
        <v>38</v>
      </c>
      <c r="K285" s="47" t="s">
        <v>39</v>
      </c>
      <c r="L285" s="57"/>
      <c r="M285" s="5"/>
      <c r="N285" s="5"/>
      <c r="O285" s="5"/>
      <c r="P285" s="56">
        <v>0.23469387755102042</v>
      </c>
      <c r="Q285" s="56">
        <v>0.23469387755102042</v>
      </c>
      <c r="R285" s="64" t="s">
        <v>708</v>
      </c>
      <c r="S285" s="68" t="s">
        <v>41</v>
      </c>
      <c r="T285" s="4" t="s">
        <v>42</v>
      </c>
      <c r="U285" s="1" t="s">
        <v>43</v>
      </c>
      <c r="V285" s="1" t="s">
        <v>28</v>
      </c>
      <c r="W285" s="25"/>
    </row>
    <row r="286" spans="1:23" ht="72" customHeight="1" thickBot="1" x14ac:dyDescent="0.3">
      <c r="A286" s="96" t="s">
        <v>56</v>
      </c>
      <c r="B286" s="26" t="s">
        <v>89</v>
      </c>
      <c r="C286" s="32">
        <v>1100</v>
      </c>
      <c r="D286" s="44" t="s">
        <v>706</v>
      </c>
      <c r="E286" s="27" t="s">
        <v>707</v>
      </c>
      <c r="F286" s="32" t="s">
        <v>22</v>
      </c>
      <c r="G286" s="44" t="s">
        <v>230</v>
      </c>
      <c r="H286" s="48" t="s">
        <v>39</v>
      </c>
      <c r="I286" s="44" t="s">
        <v>24</v>
      </c>
      <c r="J286" s="28" t="s">
        <v>11</v>
      </c>
      <c r="K286" s="48" t="s">
        <v>120</v>
      </c>
      <c r="L286" s="58"/>
      <c r="M286" s="30">
        <v>0.23469387755102042</v>
      </c>
      <c r="N286" s="30">
        <v>0.23469387755102042</v>
      </c>
      <c r="O286" s="30">
        <v>0</v>
      </c>
      <c r="P286" s="59">
        <v>0.23469387755102042</v>
      </c>
      <c r="Q286" s="59">
        <v>0.23469387755102042</v>
      </c>
      <c r="R286" s="65" t="s">
        <v>709</v>
      </c>
      <c r="S286" s="69" t="s">
        <v>41</v>
      </c>
      <c r="T286" s="31" t="s">
        <v>42</v>
      </c>
      <c r="U286" s="27" t="s">
        <v>43</v>
      </c>
      <c r="V286" s="27" t="s">
        <v>24</v>
      </c>
      <c r="W286" s="32"/>
    </row>
    <row r="287" spans="1:23" ht="57" customHeight="1" x14ac:dyDescent="0.25">
      <c r="A287" s="94" t="s">
        <v>56</v>
      </c>
      <c r="B287" s="18" t="s">
        <v>219</v>
      </c>
      <c r="C287" s="23">
        <v>1342</v>
      </c>
      <c r="D287" s="42" t="s">
        <v>710</v>
      </c>
      <c r="E287" s="19" t="s">
        <v>711</v>
      </c>
      <c r="F287" s="72" t="s">
        <v>22</v>
      </c>
      <c r="G287" s="42" t="s">
        <v>372</v>
      </c>
      <c r="H287" s="46" t="s">
        <v>36</v>
      </c>
      <c r="I287" s="42" t="s">
        <v>24</v>
      </c>
      <c r="J287" s="20" t="s">
        <v>11</v>
      </c>
      <c r="K287" s="46" t="s">
        <v>120</v>
      </c>
      <c r="L287" s="53"/>
      <c r="M287" s="98">
        <v>1.3</v>
      </c>
      <c r="N287" s="98">
        <v>1.3</v>
      </c>
      <c r="O287" s="98">
        <v>0</v>
      </c>
      <c r="P287" s="54"/>
      <c r="Q287" s="54"/>
      <c r="R287" s="63"/>
      <c r="S287" s="67" t="s">
        <v>41</v>
      </c>
      <c r="T287" s="22" t="s">
        <v>42</v>
      </c>
      <c r="U287" s="19" t="s">
        <v>43</v>
      </c>
      <c r="V287" s="19"/>
      <c r="W287" s="23"/>
    </row>
    <row r="288" spans="1:23" ht="42.75" customHeight="1" x14ac:dyDescent="0.25">
      <c r="A288" s="95" t="s">
        <v>56</v>
      </c>
      <c r="B288" s="24" t="s">
        <v>219</v>
      </c>
      <c r="C288" s="25">
        <v>1342</v>
      </c>
      <c r="D288" s="43" t="s">
        <v>712</v>
      </c>
      <c r="E288" s="1" t="s">
        <v>713</v>
      </c>
      <c r="F288" s="73" t="s">
        <v>22</v>
      </c>
      <c r="G288" s="43" t="s">
        <v>47</v>
      </c>
      <c r="H288" s="47" t="s">
        <v>36</v>
      </c>
      <c r="I288" s="43" t="s">
        <v>24</v>
      </c>
      <c r="J288" s="2" t="s">
        <v>11</v>
      </c>
      <c r="K288" s="47" t="s">
        <v>120</v>
      </c>
      <c r="L288" s="112"/>
      <c r="M288" s="3">
        <v>0</v>
      </c>
      <c r="N288" s="3">
        <v>0</v>
      </c>
      <c r="O288" s="3">
        <v>0</v>
      </c>
      <c r="P288" s="56"/>
      <c r="Q288" s="56"/>
      <c r="R288" s="64"/>
      <c r="S288" s="68" t="s">
        <v>41</v>
      </c>
      <c r="T288" s="4" t="s">
        <v>42</v>
      </c>
      <c r="U288" s="1" t="s">
        <v>43</v>
      </c>
      <c r="V288" s="1"/>
      <c r="W288" s="25"/>
    </row>
    <row r="289" spans="1:23" ht="57" customHeight="1" x14ac:dyDescent="0.25">
      <c r="A289" s="95" t="s">
        <v>56</v>
      </c>
      <c r="B289" s="24" t="s">
        <v>219</v>
      </c>
      <c r="C289" s="25">
        <v>1342</v>
      </c>
      <c r="D289" s="43" t="s">
        <v>714</v>
      </c>
      <c r="E289" s="1" t="s">
        <v>715</v>
      </c>
      <c r="F289" s="73" t="s">
        <v>26</v>
      </c>
      <c r="G289" s="43" t="s">
        <v>27</v>
      </c>
      <c r="H289" s="47" t="s">
        <v>39</v>
      </c>
      <c r="I289" s="43" t="s">
        <v>37</v>
      </c>
      <c r="J289" s="2" t="s">
        <v>38</v>
      </c>
      <c r="K289" s="47" t="s">
        <v>39</v>
      </c>
      <c r="L289" s="57"/>
      <c r="M289" s="5"/>
      <c r="N289" s="5"/>
      <c r="O289" s="5"/>
      <c r="P289" s="56"/>
      <c r="Q289" s="56"/>
      <c r="R289" s="64"/>
      <c r="S289" s="68" t="s">
        <v>41</v>
      </c>
      <c r="T289" s="4" t="s">
        <v>42</v>
      </c>
      <c r="U289" s="1" t="s">
        <v>43</v>
      </c>
      <c r="V289" s="1"/>
      <c r="W289" s="25"/>
    </row>
    <row r="290" spans="1:23" ht="43.5" customHeight="1" thickBot="1" x14ac:dyDescent="0.3">
      <c r="A290" s="96" t="s">
        <v>56</v>
      </c>
      <c r="B290" s="26" t="s">
        <v>219</v>
      </c>
      <c r="C290" s="32">
        <v>1342</v>
      </c>
      <c r="D290" s="44" t="s">
        <v>710</v>
      </c>
      <c r="E290" s="27" t="s">
        <v>716</v>
      </c>
      <c r="F290" s="74" t="s">
        <v>22</v>
      </c>
      <c r="G290" s="44" t="s">
        <v>372</v>
      </c>
      <c r="H290" s="48" t="s">
        <v>36</v>
      </c>
      <c r="I290" s="44" t="s">
        <v>51</v>
      </c>
      <c r="J290" s="28" t="s">
        <v>11</v>
      </c>
      <c r="K290" s="48" t="s">
        <v>49</v>
      </c>
      <c r="L290" s="58"/>
      <c r="M290" s="30">
        <v>0.01</v>
      </c>
      <c r="N290" s="30">
        <v>0.01</v>
      </c>
      <c r="O290" s="30">
        <v>0.01</v>
      </c>
      <c r="P290" s="59"/>
      <c r="Q290" s="59"/>
      <c r="R290" s="65"/>
      <c r="S290" s="69" t="s">
        <v>41</v>
      </c>
      <c r="T290" s="31" t="s">
        <v>42</v>
      </c>
      <c r="U290" s="27" t="s">
        <v>43</v>
      </c>
      <c r="V290" s="27"/>
      <c r="W290" s="32"/>
    </row>
    <row r="291" spans="1:23" ht="57" customHeight="1" x14ac:dyDescent="0.25">
      <c r="A291" s="91" t="s">
        <v>56</v>
      </c>
      <c r="B291" s="18" t="s">
        <v>203</v>
      </c>
      <c r="C291" s="23">
        <v>1799</v>
      </c>
      <c r="D291" s="42" t="s">
        <v>717</v>
      </c>
      <c r="E291" s="19" t="s">
        <v>718</v>
      </c>
      <c r="F291" s="23" t="s">
        <v>31</v>
      </c>
      <c r="G291" s="42" t="s">
        <v>155</v>
      </c>
      <c r="H291" s="46" t="s">
        <v>39</v>
      </c>
      <c r="I291" s="42" t="s">
        <v>51</v>
      </c>
      <c r="J291" s="20" t="s">
        <v>11</v>
      </c>
      <c r="K291" s="46" t="s">
        <v>49</v>
      </c>
      <c r="L291" s="53"/>
      <c r="M291" s="98">
        <v>0.92095566230104797</v>
      </c>
      <c r="N291" s="98">
        <v>0.92095566230104797</v>
      </c>
      <c r="O291" s="98">
        <v>0.92095566230104797</v>
      </c>
      <c r="P291" s="54"/>
      <c r="Q291" s="54"/>
      <c r="R291" s="63" t="s">
        <v>719</v>
      </c>
      <c r="S291" s="67" t="s">
        <v>720</v>
      </c>
      <c r="T291" s="22" t="s">
        <v>721</v>
      </c>
      <c r="U291" s="19" t="s">
        <v>43</v>
      </c>
      <c r="V291" s="19" t="s">
        <v>722</v>
      </c>
      <c r="W291" s="23"/>
    </row>
    <row r="292" spans="1:23" ht="57" customHeight="1" x14ac:dyDescent="0.25">
      <c r="A292" s="92" t="s">
        <v>56</v>
      </c>
      <c r="B292" s="24" t="s">
        <v>203</v>
      </c>
      <c r="C292" s="25">
        <v>1799</v>
      </c>
      <c r="D292" s="43" t="s">
        <v>717</v>
      </c>
      <c r="E292" s="1" t="s">
        <v>723</v>
      </c>
      <c r="F292" s="25" t="s">
        <v>26</v>
      </c>
      <c r="G292" s="43" t="s">
        <v>155</v>
      </c>
      <c r="H292" s="47" t="s">
        <v>39</v>
      </c>
      <c r="I292" s="99" t="s">
        <v>51</v>
      </c>
      <c r="J292" s="2" t="s">
        <v>11</v>
      </c>
      <c r="K292" s="47" t="s">
        <v>49</v>
      </c>
      <c r="L292" s="57"/>
      <c r="M292" s="3">
        <v>6.0722351360508603E-2</v>
      </c>
      <c r="N292" s="3">
        <v>6.0722351360508603E-2</v>
      </c>
      <c r="O292" s="3">
        <v>6.0722351360508603E-2</v>
      </c>
      <c r="P292" s="56"/>
      <c r="Q292" s="56"/>
      <c r="R292" s="64" t="s">
        <v>723</v>
      </c>
      <c r="S292" s="68" t="s">
        <v>724</v>
      </c>
      <c r="T292" s="4" t="s">
        <v>725</v>
      </c>
      <c r="U292" s="1" t="s">
        <v>43</v>
      </c>
      <c r="V292" s="1" t="s">
        <v>722</v>
      </c>
      <c r="W292" s="25"/>
    </row>
    <row r="293" spans="1:23" ht="57" customHeight="1" x14ac:dyDescent="0.25">
      <c r="A293" s="92" t="s">
        <v>56</v>
      </c>
      <c r="B293" s="24" t="s">
        <v>203</v>
      </c>
      <c r="C293" s="25">
        <v>1799</v>
      </c>
      <c r="D293" s="43" t="s">
        <v>717</v>
      </c>
      <c r="E293" s="1" t="s">
        <v>726</v>
      </c>
      <c r="F293" s="25" t="s">
        <v>46</v>
      </c>
      <c r="G293" s="43" t="s">
        <v>155</v>
      </c>
      <c r="H293" s="47" t="s">
        <v>39</v>
      </c>
      <c r="I293" s="99" t="s">
        <v>37</v>
      </c>
      <c r="J293" s="2" t="s">
        <v>38</v>
      </c>
      <c r="K293" s="47" t="s">
        <v>39</v>
      </c>
      <c r="L293" s="57"/>
      <c r="M293" s="5"/>
      <c r="N293" s="5"/>
      <c r="O293" s="5"/>
      <c r="P293" s="56"/>
      <c r="Q293" s="56"/>
      <c r="R293" s="64" t="s">
        <v>727</v>
      </c>
      <c r="S293" s="68" t="s">
        <v>724</v>
      </c>
      <c r="T293" s="4" t="s">
        <v>725</v>
      </c>
      <c r="U293" s="1" t="s">
        <v>43</v>
      </c>
      <c r="V293" s="1" t="s">
        <v>722</v>
      </c>
      <c r="W293" s="25"/>
    </row>
    <row r="294" spans="1:23" ht="57" customHeight="1" x14ac:dyDescent="0.25">
      <c r="A294" s="92" t="s">
        <v>56</v>
      </c>
      <c r="B294" s="24" t="s">
        <v>203</v>
      </c>
      <c r="C294" s="25">
        <v>1799</v>
      </c>
      <c r="D294" s="43" t="s">
        <v>728</v>
      </c>
      <c r="E294" s="1" t="s">
        <v>1063</v>
      </c>
      <c r="F294" s="25" t="s">
        <v>26</v>
      </c>
      <c r="G294" s="43" t="s">
        <v>155</v>
      </c>
      <c r="H294" s="47" t="s">
        <v>39</v>
      </c>
      <c r="I294" s="99" t="s">
        <v>192</v>
      </c>
      <c r="J294" s="2" t="s">
        <v>11</v>
      </c>
      <c r="K294" s="47" t="s">
        <v>151</v>
      </c>
      <c r="L294" s="57"/>
      <c r="M294" s="3">
        <v>0.81347146059697995</v>
      </c>
      <c r="N294" s="3">
        <v>0.81347146059697995</v>
      </c>
      <c r="O294" s="3">
        <v>0.81347146059697995</v>
      </c>
      <c r="P294" s="56"/>
      <c r="Q294" s="56"/>
      <c r="R294" s="64" t="s">
        <v>729</v>
      </c>
      <c r="S294" s="68" t="s">
        <v>724</v>
      </c>
      <c r="T294" s="4" t="s">
        <v>725</v>
      </c>
      <c r="U294" s="1" t="s">
        <v>43</v>
      </c>
      <c r="V294" s="1" t="s">
        <v>722</v>
      </c>
      <c r="W294" s="25"/>
    </row>
    <row r="295" spans="1:23" ht="57" customHeight="1" x14ac:dyDescent="0.25">
      <c r="A295" s="92" t="s">
        <v>56</v>
      </c>
      <c r="B295" s="24" t="s">
        <v>203</v>
      </c>
      <c r="C295" s="25">
        <v>1799</v>
      </c>
      <c r="D295" s="43" t="s">
        <v>730</v>
      </c>
      <c r="E295" s="1" t="s">
        <v>731</v>
      </c>
      <c r="F295" s="25" t="s">
        <v>26</v>
      </c>
      <c r="G295" s="43" t="s">
        <v>155</v>
      </c>
      <c r="H295" s="47" t="s">
        <v>39</v>
      </c>
      <c r="I295" s="43" t="s">
        <v>28</v>
      </c>
      <c r="J295" s="2" t="s">
        <v>38</v>
      </c>
      <c r="K295" s="47" t="s">
        <v>39</v>
      </c>
      <c r="L295" s="57"/>
      <c r="M295" s="5"/>
      <c r="N295" s="5"/>
      <c r="O295" s="5"/>
      <c r="P295" s="56"/>
      <c r="Q295" s="56"/>
      <c r="R295" s="64" t="s">
        <v>732</v>
      </c>
      <c r="S295" s="68" t="s">
        <v>724</v>
      </c>
      <c r="T295" s="4" t="s">
        <v>725</v>
      </c>
      <c r="U295" s="1" t="s">
        <v>43</v>
      </c>
      <c r="V295" s="1" t="s">
        <v>722</v>
      </c>
      <c r="W295" s="25"/>
    </row>
    <row r="296" spans="1:23" ht="57" customHeight="1" x14ac:dyDescent="0.25">
      <c r="A296" s="92" t="s">
        <v>56</v>
      </c>
      <c r="B296" s="24" t="s">
        <v>203</v>
      </c>
      <c r="C296" s="25">
        <v>1799</v>
      </c>
      <c r="D296" s="43" t="s">
        <v>733</v>
      </c>
      <c r="E296" s="1" t="s">
        <v>877</v>
      </c>
      <c r="F296" s="25" t="s">
        <v>31</v>
      </c>
      <c r="G296" s="43" t="s">
        <v>155</v>
      </c>
      <c r="H296" s="47" t="s">
        <v>39</v>
      </c>
      <c r="I296" s="99" t="s">
        <v>24</v>
      </c>
      <c r="J296" s="2" t="s">
        <v>11</v>
      </c>
      <c r="K296" s="47" t="s">
        <v>120</v>
      </c>
      <c r="L296" s="57"/>
      <c r="M296" s="3">
        <v>0.2</v>
      </c>
      <c r="N296" s="3">
        <v>0.2</v>
      </c>
      <c r="O296" s="3">
        <v>0.2</v>
      </c>
      <c r="P296" s="56"/>
      <c r="Q296" s="56"/>
      <c r="R296" s="64" t="s">
        <v>734</v>
      </c>
      <c r="S296" s="68" t="s">
        <v>724</v>
      </c>
      <c r="T296" s="4" t="s">
        <v>725</v>
      </c>
      <c r="U296" s="1" t="s">
        <v>43</v>
      </c>
      <c r="V296" s="1" t="s">
        <v>722</v>
      </c>
      <c r="W296" s="25"/>
    </row>
    <row r="297" spans="1:23" ht="57" customHeight="1" x14ac:dyDescent="0.25">
      <c r="A297" s="92" t="s">
        <v>56</v>
      </c>
      <c r="B297" s="24" t="s">
        <v>203</v>
      </c>
      <c r="C297" s="25">
        <v>1799</v>
      </c>
      <c r="D297" s="43" t="s">
        <v>733</v>
      </c>
      <c r="E297" s="1" t="s">
        <v>735</v>
      </c>
      <c r="F297" s="25" t="s">
        <v>26</v>
      </c>
      <c r="G297" s="43" t="s">
        <v>155</v>
      </c>
      <c r="H297" s="47" t="s">
        <v>39</v>
      </c>
      <c r="I297" s="43" t="s">
        <v>37</v>
      </c>
      <c r="J297" s="2" t="s">
        <v>38</v>
      </c>
      <c r="K297" s="47" t="s">
        <v>39</v>
      </c>
      <c r="L297" s="57"/>
      <c r="M297" s="5"/>
      <c r="N297" s="5"/>
      <c r="O297" s="5"/>
      <c r="P297" s="56"/>
      <c r="Q297" s="56"/>
      <c r="R297" s="64" t="s">
        <v>736</v>
      </c>
      <c r="S297" s="68" t="s">
        <v>724</v>
      </c>
      <c r="T297" s="4" t="s">
        <v>725</v>
      </c>
      <c r="U297" s="1" t="s">
        <v>43</v>
      </c>
      <c r="V297" s="1" t="s">
        <v>722</v>
      </c>
      <c r="W297" s="25"/>
    </row>
    <row r="298" spans="1:23" ht="43.5" customHeight="1" thickBot="1" x14ac:dyDescent="0.3">
      <c r="A298" s="93" t="s">
        <v>56</v>
      </c>
      <c r="B298" s="26" t="s">
        <v>203</v>
      </c>
      <c r="C298" s="32">
        <v>1799</v>
      </c>
      <c r="D298" s="44" t="s">
        <v>737</v>
      </c>
      <c r="E298" s="27" t="s">
        <v>738</v>
      </c>
      <c r="F298" s="32" t="s">
        <v>22</v>
      </c>
      <c r="G298" s="44" t="s">
        <v>173</v>
      </c>
      <c r="H298" s="48" t="s">
        <v>36</v>
      </c>
      <c r="I298" s="44" t="s">
        <v>24</v>
      </c>
      <c r="J298" s="28" t="s">
        <v>11</v>
      </c>
      <c r="K298" s="48" t="s">
        <v>120</v>
      </c>
      <c r="L298" s="58"/>
      <c r="M298" s="30">
        <v>0.29356590999999999</v>
      </c>
      <c r="N298" s="30">
        <v>0.29356590999999999</v>
      </c>
      <c r="O298" s="30">
        <v>0.29356590999999999</v>
      </c>
      <c r="P298" s="59"/>
      <c r="Q298" s="59"/>
      <c r="R298" s="65" t="s">
        <v>739</v>
      </c>
      <c r="S298" s="69" t="s">
        <v>724</v>
      </c>
      <c r="T298" s="31" t="s">
        <v>725</v>
      </c>
      <c r="U298" s="27" t="s">
        <v>43</v>
      </c>
      <c r="V298" s="27" t="s">
        <v>722</v>
      </c>
      <c r="W298" s="32"/>
    </row>
    <row r="299" spans="1:23" ht="57.75" customHeight="1" thickBot="1" x14ac:dyDescent="0.3">
      <c r="A299" s="113" t="s">
        <v>56</v>
      </c>
      <c r="B299" s="114" t="s">
        <v>207</v>
      </c>
      <c r="C299" s="115">
        <v>1799</v>
      </c>
      <c r="D299" s="116" t="s">
        <v>250</v>
      </c>
      <c r="E299" s="117" t="s">
        <v>740</v>
      </c>
      <c r="F299" s="115" t="s">
        <v>22</v>
      </c>
      <c r="G299" s="116" t="s">
        <v>175</v>
      </c>
      <c r="H299" s="118" t="s">
        <v>36</v>
      </c>
      <c r="I299" s="116" t="s">
        <v>24</v>
      </c>
      <c r="J299" s="119" t="s">
        <v>11</v>
      </c>
      <c r="K299" s="118" t="s">
        <v>120</v>
      </c>
      <c r="L299" s="126"/>
      <c r="M299" s="120">
        <v>0.48799999999999999</v>
      </c>
      <c r="N299" s="121">
        <v>0.48799999999999999</v>
      </c>
      <c r="O299" s="121">
        <v>0</v>
      </c>
      <c r="P299" s="122">
        <v>0.48799999999999999</v>
      </c>
      <c r="Q299" s="122">
        <v>0.48799999999999999</v>
      </c>
      <c r="R299" s="123"/>
      <c r="S299" s="124" t="s">
        <v>41</v>
      </c>
      <c r="T299" s="125" t="s">
        <v>42</v>
      </c>
      <c r="U299" s="117" t="s">
        <v>43</v>
      </c>
      <c r="V299" s="117" t="s">
        <v>24</v>
      </c>
      <c r="W299" s="115"/>
    </row>
    <row r="300" spans="1:23" ht="57" customHeight="1" x14ac:dyDescent="0.25">
      <c r="A300" s="94" t="s">
        <v>56</v>
      </c>
      <c r="B300" s="18" t="s">
        <v>206</v>
      </c>
      <c r="C300" s="23">
        <v>1799</v>
      </c>
      <c r="D300" s="42" t="s">
        <v>741</v>
      </c>
      <c r="E300" s="19" t="s">
        <v>742</v>
      </c>
      <c r="F300" s="23" t="s">
        <v>26</v>
      </c>
      <c r="G300" s="42" t="s">
        <v>27</v>
      </c>
      <c r="H300" s="46" t="s">
        <v>39</v>
      </c>
      <c r="I300" s="42" t="s">
        <v>28</v>
      </c>
      <c r="J300" s="20" t="s">
        <v>38</v>
      </c>
      <c r="K300" s="46" t="s">
        <v>39</v>
      </c>
      <c r="L300" s="53"/>
      <c r="M300" s="21"/>
      <c r="N300" s="21"/>
      <c r="O300" s="21"/>
      <c r="P300" s="54"/>
      <c r="Q300" s="54"/>
      <c r="R300" s="63"/>
      <c r="S300" s="67" t="s">
        <v>41</v>
      </c>
      <c r="T300" s="22" t="s">
        <v>42</v>
      </c>
      <c r="U300" s="19" t="s">
        <v>43</v>
      </c>
      <c r="V300" s="19" t="s">
        <v>28</v>
      </c>
      <c r="W300" s="23"/>
    </row>
    <row r="301" spans="1:23" ht="57" customHeight="1" x14ac:dyDescent="0.25">
      <c r="A301" s="95" t="s">
        <v>56</v>
      </c>
      <c r="B301" s="24" t="s">
        <v>206</v>
      </c>
      <c r="C301" s="25">
        <v>1799</v>
      </c>
      <c r="D301" s="43" t="s">
        <v>741</v>
      </c>
      <c r="E301" s="1" t="s">
        <v>743</v>
      </c>
      <c r="F301" s="25" t="s">
        <v>26</v>
      </c>
      <c r="G301" s="43" t="s">
        <v>27</v>
      </c>
      <c r="H301" s="47" t="s">
        <v>39</v>
      </c>
      <c r="I301" s="43" t="s">
        <v>28</v>
      </c>
      <c r="J301" s="2" t="s">
        <v>38</v>
      </c>
      <c r="K301" s="47" t="s">
        <v>39</v>
      </c>
      <c r="L301" s="57"/>
      <c r="M301" s="5"/>
      <c r="N301" s="5"/>
      <c r="O301" s="5"/>
      <c r="P301" s="56"/>
      <c r="Q301" s="56"/>
      <c r="R301" s="64"/>
      <c r="S301" s="68" t="s">
        <v>41</v>
      </c>
      <c r="T301" s="4" t="s">
        <v>42</v>
      </c>
      <c r="U301" s="1" t="s">
        <v>43</v>
      </c>
      <c r="V301" s="1" t="s">
        <v>28</v>
      </c>
      <c r="W301" s="25"/>
    </row>
    <row r="302" spans="1:23" ht="57" customHeight="1" x14ac:dyDescent="0.25">
      <c r="A302" s="95" t="s">
        <v>56</v>
      </c>
      <c r="B302" s="24" t="s">
        <v>206</v>
      </c>
      <c r="C302" s="25">
        <v>1799</v>
      </c>
      <c r="D302" s="43" t="s">
        <v>741</v>
      </c>
      <c r="E302" s="1" t="s">
        <v>744</v>
      </c>
      <c r="F302" s="25" t="s">
        <v>22</v>
      </c>
      <c r="G302" s="43" t="s">
        <v>27</v>
      </c>
      <c r="H302" s="47" t="s">
        <v>39</v>
      </c>
      <c r="I302" s="43" t="s">
        <v>28</v>
      </c>
      <c r="J302" s="2" t="s">
        <v>38</v>
      </c>
      <c r="K302" s="47" t="s">
        <v>39</v>
      </c>
      <c r="L302" s="57"/>
      <c r="M302" s="5"/>
      <c r="N302" s="5"/>
      <c r="O302" s="5"/>
      <c r="P302" s="56"/>
      <c r="Q302" s="56"/>
      <c r="R302" s="64"/>
      <c r="S302" s="68" t="s">
        <v>41</v>
      </c>
      <c r="T302" s="4" t="s">
        <v>42</v>
      </c>
      <c r="U302" s="1" t="s">
        <v>43</v>
      </c>
      <c r="V302" s="1" t="s">
        <v>28</v>
      </c>
      <c r="W302" s="25"/>
    </row>
    <row r="303" spans="1:23" ht="57.75" customHeight="1" thickBot="1" x14ac:dyDescent="0.3">
      <c r="A303" s="96" t="s">
        <v>56</v>
      </c>
      <c r="B303" s="26" t="s">
        <v>206</v>
      </c>
      <c r="C303" s="32">
        <v>1799</v>
      </c>
      <c r="D303" s="44" t="s">
        <v>745</v>
      </c>
      <c r="E303" s="27" t="s">
        <v>746</v>
      </c>
      <c r="F303" s="32" t="s">
        <v>26</v>
      </c>
      <c r="G303" s="44" t="s">
        <v>242</v>
      </c>
      <c r="H303" s="48" t="s">
        <v>39</v>
      </c>
      <c r="I303" s="44" t="s">
        <v>37</v>
      </c>
      <c r="J303" s="28" t="s">
        <v>38</v>
      </c>
      <c r="K303" s="48" t="s">
        <v>39</v>
      </c>
      <c r="L303" s="58"/>
      <c r="M303" s="29"/>
      <c r="N303" s="29"/>
      <c r="O303" s="29"/>
      <c r="P303" s="59"/>
      <c r="Q303" s="59"/>
      <c r="R303" s="65"/>
      <c r="S303" s="69" t="s">
        <v>41</v>
      </c>
      <c r="T303" s="31" t="s">
        <v>42</v>
      </c>
      <c r="U303" s="27" t="s">
        <v>43</v>
      </c>
      <c r="V303" s="27" t="s">
        <v>37</v>
      </c>
      <c r="W303" s="32"/>
    </row>
    <row r="304" spans="1:23" ht="42.75" customHeight="1" x14ac:dyDescent="0.25">
      <c r="A304" s="94" t="s">
        <v>56</v>
      </c>
      <c r="B304" s="18" t="s">
        <v>211</v>
      </c>
      <c r="C304" s="23">
        <v>1284</v>
      </c>
      <c r="D304" s="42" t="s">
        <v>131</v>
      </c>
      <c r="E304" s="147" t="s">
        <v>876</v>
      </c>
      <c r="F304" s="23" t="s">
        <v>26</v>
      </c>
      <c r="G304" s="42" t="s">
        <v>133</v>
      </c>
      <c r="H304" s="46" t="s">
        <v>36</v>
      </c>
      <c r="I304" s="42" t="s">
        <v>134</v>
      </c>
      <c r="J304" s="20" t="s">
        <v>10</v>
      </c>
      <c r="K304" s="46" t="s">
        <v>151</v>
      </c>
      <c r="L304" s="76">
        <v>4.8</v>
      </c>
      <c r="M304" s="21"/>
      <c r="N304" s="21"/>
      <c r="O304" s="21"/>
      <c r="P304" s="54"/>
      <c r="Q304" s="54"/>
      <c r="R304" s="63"/>
      <c r="S304" s="67"/>
      <c r="T304" s="22"/>
      <c r="U304" s="19"/>
      <c r="V304" s="19"/>
      <c r="W304" s="23"/>
    </row>
    <row r="305" spans="1:23" ht="57.75" customHeight="1" thickBot="1" x14ac:dyDescent="0.3">
      <c r="A305" s="127" t="s">
        <v>56</v>
      </c>
      <c r="B305" s="146" t="s">
        <v>211</v>
      </c>
      <c r="C305" s="129">
        <v>1284</v>
      </c>
      <c r="D305" s="130" t="s">
        <v>39</v>
      </c>
      <c r="E305" s="131" t="s">
        <v>747</v>
      </c>
      <c r="F305" s="129" t="s">
        <v>26</v>
      </c>
      <c r="G305" s="130" t="s">
        <v>27</v>
      </c>
      <c r="H305" s="132" t="s">
        <v>39</v>
      </c>
      <c r="I305" s="130" t="s">
        <v>245</v>
      </c>
      <c r="J305" s="133" t="s">
        <v>38</v>
      </c>
      <c r="K305" s="132" t="s">
        <v>39</v>
      </c>
      <c r="L305" s="134"/>
      <c r="M305" s="135"/>
      <c r="N305" s="135"/>
      <c r="O305" s="135"/>
      <c r="P305" s="136">
        <v>0.98</v>
      </c>
      <c r="Q305" s="136">
        <v>0.98</v>
      </c>
      <c r="R305" s="137" t="s">
        <v>748</v>
      </c>
      <c r="S305" s="138" t="s">
        <v>41</v>
      </c>
      <c r="T305" s="139" t="s">
        <v>42</v>
      </c>
      <c r="U305" s="131" t="s">
        <v>43</v>
      </c>
      <c r="V305" s="131" t="s">
        <v>245</v>
      </c>
      <c r="W305" s="129"/>
    </row>
    <row r="306" spans="1:23" ht="230.25" customHeight="1" x14ac:dyDescent="0.25">
      <c r="A306" s="94" t="s">
        <v>56</v>
      </c>
      <c r="B306" s="18" t="s">
        <v>81</v>
      </c>
      <c r="C306" s="23">
        <v>1159</v>
      </c>
      <c r="D306" s="42" t="s">
        <v>181</v>
      </c>
      <c r="E306" s="19" t="s">
        <v>749</v>
      </c>
      <c r="F306" s="23" t="s">
        <v>26</v>
      </c>
      <c r="G306" s="42" t="s">
        <v>27</v>
      </c>
      <c r="H306" s="46" t="s">
        <v>39</v>
      </c>
      <c r="I306" s="42" t="s">
        <v>37</v>
      </c>
      <c r="J306" s="20" t="s">
        <v>38</v>
      </c>
      <c r="K306" s="46" t="s">
        <v>39</v>
      </c>
      <c r="L306" s="53"/>
      <c r="M306" s="21"/>
      <c r="N306" s="21"/>
      <c r="O306" s="21"/>
      <c r="P306" s="54"/>
      <c r="Q306" s="54"/>
      <c r="R306" s="63" t="s">
        <v>750</v>
      </c>
      <c r="S306" s="67" t="s">
        <v>41</v>
      </c>
      <c r="T306" s="22" t="s">
        <v>42</v>
      </c>
      <c r="U306" s="19" t="s">
        <v>43</v>
      </c>
      <c r="V306" s="19" t="s">
        <v>722</v>
      </c>
      <c r="W306" s="23"/>
    </row>
    <row r="307" spans="1:23" ht="239.25" customHeight="1" x14ac:dyDescent="0.25">
      <c r="A307" s="95" t="s">
        <v>56</v>
      </c>
      <c r="B307" s="24" t="s">
        <v>81</v>
      </c>
      <c r="C307" s="25">
        <v>1159</v>
      </c>
      <c r="D307" s="43" t="s">
        <v>181</v>
      </c>
      <c r="E307" s="1" t="s">
        <v>751</v>
      </c>
      <c r="F307" s="25" t="s">
        <v>26</v>
      </c>
      <c r="G307" s="43" t="s">
        <v>27</v>
      </c>
      <c r="H307" s="47" t="s">
        <v>39</v>
      </c>
      <c r="I307" s="99" t="s">
        <v>37</v>
      </c>
      <c r="J307" s="2" t="s">
        <v>38</v>
      </c>
      <c r="K307" s="47" t="s">
        <v>39</v>
      </c>
      <c r="L307" s="57"/>
      <c r="M307" s="5"/>
      <c r="N307" s="5"/>
      <c r="O307" s="5"/>
      <c r="P307" s="56"/>
      <c r="Q307" s="56"/>
      <c r="R307" s="64" t="s">
        <v>752</v>
      </c>
      <c r="S307" s="68" t="s">
        <v>41</v>
      </c>
      <c r="T307" s="4" t="s">
        <v>42</v>
      </c>
      <c r="U307" s="1" t="s">
        <v>43</v>
      </c>
      <c r="V307" s="1" t="s">
        <v>722</v>
      </c>
      <c r="W307" s="25"/>
    </row>
    <row r="308" spans="1:23" ht="142.5" customHeight="1" x14ac:dyDescent="0.25">
      <c r="A308" s="95" t="s">
        <v>56</v>
      </c>
      <c r="B308" s="24" t="s">
        <v>81</v>
      </c>
      <c r="C308" s="25">
        <v>1159</v>
      </c>
      <c r="D308" s="43" t="s">
        <v>181</v>
      </c>
      <c r="E308" s="1" t="s">
        <v>753</v>
      </c>
      <c r="F308" s="25" t="s">
        <v>26</v>
      </c>
      <c r="G308" s="43" t="s">
        <v>155</v>
      </c>
      <c r="H308" s="47" t="s">
        <v>39</v>
      </c>
      <c r="I308" s="43" t="s">
        <v>37</v>
      </c>
      <c r="J308" s="2" t="s">
        <v>38</v>
      </c>
      <c r="K308" s="47" t="s">
        <v>39</v>
      </c>
      <c r="L308" s="57"/>
      <c r="M308" s="5"/>
      <c r="N308" s="5"/>
      <c r="O308" s="5"/>
      <c r="P308" s="56"/>
      <c r="Q308" s="56"/>
      <c r="R308" s="64" t="s">
        <v>754</v>
      </c>
      <c r="S308" s="68" t="s">
        <v>41</v>
      </c>
      <c r="T308" s="4" t="s">
        <v>42</v>
      </c>
      <c r="U308" s="1" t="s">
        <v>43</v>
      </c>
      <c r="V308" s="1" t="s">
        <v>722</v>
      </c>
      <c r="W308" s="25"/>
    </row>
    <row r="309" spans="1:23" ht="42.75" customHeight="1" x14ac:dyDescent="0.25">
      <c r="A309" s="95" t="s">
        <v>56</v>
      </c>
      <c r="B309" s="24" t="s">
        <v>81</v>
      </c>
      <c r="C309" s="25">
        <v>1159</v>
      </c>
      <c r="D309" s="43" t="s">
        <v>171</v>
      </c>
      <c r="E309" s="90" t="s">
        <v>756</v>
      </c>
      <c r="F309" s="25" t="s">
        <v>22</v>
      </c>
      <c r="G309" s="43" t="s">
        <v>173</v>
      </c>
      <c r="H309" s="47" t="s">
        <v>36</v>
      </c>
      <c r="I309" s="43" t="s">
        <v>117</v>
      </c>
      <c r="J309" s="2" t="s">
        <v>10</v>
      </c>
      <c r="K309" s="47" t="s">
        <v>120</v>
      </c>
      <c r="L309" s="55">
        <v>50</v>
      </c>
      <c r="M309" s="5"/>
      <c r="N309" s="5"/>
      <c r="O309" s="5"/>
      <c r="P309" s="56"/>
      <c r="Q309" s="56"/>
      <c r="R309" s="64" t="s">
        <v>755</v>
      </c>
      <c r="S309" s="68" t="s">
        <v>41</v>
      </c>
      <c r="T309" s="4" t="s">
        <v>42</v>
      </c>
      <c r="U309" s="1" t="s">
        <v>43</v>
      </c>
      <c r="V309" s="1" t="s">
        <v>722</v>
      </c>
      <c r="W309" s="25"/>
    </row>
    <row r="310" spans="1:23" ht="43.5" customHeight="1" thickBot="1" x14ac:dyDescent="0.3">
      <c r="A310" s="127" t="s">
        <v>56</v>
      </c>
      <c r="B310" s="128" t="s">
        <v>81</v>
      </c>
      <c r="C310" s="129">
        <v>1159</v>
      </c>
      <c r="D310" s="130" t="s">
        <v>171</v>
      </c>
      <c r="E310" s="141" t="s">
        <v>757</v>
      </c>
      <c r="F310" s="129" t="s">
        <v>22</v>
      </c>
      <c r="G310" s="130" t="s">
        <v>173</v>
      </c>
      <c r="H310" s="132" t="s">
        <v>36</v>
      </c>
      <c r="I310" s="130" t="s">
        <v>24</v>
      </c>
      <c r="J310" s="133" t="s">
        <v>11</v>
      </c>
      <c r="K310" s="132" t="s">
        <v>120</v>
      </c>
      <c r="L310" s="134"/>
      <c r="M310" s="140">
        <v>0</v>
      </c>
      <c r="N310" s="140">
        <v>0</v>
      </c>
      <c r="O310" s="140">
        <v>0</v>
      </c>
      <c r="P310" s="136"/>
      <c r="Q310" s="136"/>
      <c r="R310" s="137" t="s">
        <v>755</v>
      </c>
      <c r="S310" s="138" t="s">
        <v>41</v>
      </c>
      <c r="T310" s="139" t="s">
        <v>42</v>
      </c>
      <c r="U310" s="131" t="s">
        <v>43</v>
      </c>
      <c r="V310" s="131" t="s">
        <v>722</v>
      </c>
      <c r="W310" s="129"/>
    </row>
    <row r="311" spans="1:23" ht="313.5" customHeight="1" x14ac:dyDescent="0.25">
      <c r="A311" s="94" t="s">
        <v>56</v>
      </c>
      <c r="B311" s="18" t="s">
        <v>216</v>
      </c>
      <c r="C311" s="23">
        <v>1116</v>
      </c>
      <c r="D311" s="42" t="s">
        <v>758</v>
      </c>
      <c r="E311" s="19" t="s">
        <v>759</v>
      </c>
      <c r="F311" s="23" t="s">
        <v>26</v>
      </c>
      <c r="G311" s="42" t="s">
        <v>760</v>
      </c>
      <c r="H311" s="46" t="s">
        <v>39</v>
      </c>
      <c r="I311" s="42" t="s">
        <v>28</v>
      </c>
      <c r="J311" s="20" t="s">
        <v>38</v>
      </c>
      <c r="K311" s="46" t="s">
        <v>39</v>
      </c>
      <c r="L311" s="53"/>
      <c r="M311" s="21"/>
      <c r="N311" s="21"/>
      <c r="O311" s="21"/>
      <c r="P311" s="54"/>
      <c r="Q311" s="54"/>
      <c r="R311" s="63" t="s">
        <v>761</v>
      </c>
      <c r="S311" s="67" t="s">
        <v>41</v>
      </c>
      <c r="T311" s="22" t="s">
        <v>42</v>
      </c>
      <c r="U311" s="19" t="s">
        <v>43</v>
      </c>
      <c r="V311" s="19"/>
      <c r="W311" s="23"/>
    </row>
    <row r="312" spans="1:23" ht="313.5" customHeight="1" x14ac:dyDescent="0.25">
      <c r="A312" s="95" t="s">
        <v>56</v>
      </c>
      <c r="B312" s="24" t="s">
        <v>216</v>
      </c>
      <c r="C312" s="25">
        <v>1116</v>
      </c>
      <c r="D312" s="43" t="s">
        <v>762</v>
      </c>
      <c r="E312" s="1" t="s">
        <v>763</v>
      </c>
      <c r="F312" s="25" t="s">
        <v>26</v>
      </c>
      <c r="G312" s="43" t="s">
        <v>760</v>
      </c>
      <c r="H312" s="47" t="s">
        <v>39</v>
      </c>
      <c r="I312" s="43" t="s">
        <v>28</v>
      </c>
      <c r="J312" s="2" t="s">
        <v>38</v>
      </c>
      <c r="K312" s="47" t="s">
        <v>39</v>
      </c>
      <c r="L312" s="57"/>
      <c r="M312" s="5"/>
      <c r="N312" s="5"/>
      <c r="O312" s="5"/>
      <c r="P312" s="56"/>
      <c r="Q312" s="56"/>
      <c r="R312" s="64" t="s">
        <v>761</v>
      </c>
      <c r="S312" s="68" t="s">
        <v>41</v>
      </c>
      <c r="T312" s="4" t="s">
        <v>42</v>
      </c>
      <c r="U312" s="1" t="s">
        <v>159</v>
      </c>
      <c r="V312" s="1"/>
      <c r="W312" s="25"/>
    </row>
    <row r="313" spans="1:23" ht="71.25" customHeight="1" x14ac:dyDescent="0.25">
      <c r="A313" s="95" t="s">
        <v>56</v>
      </c>
      <c r="B313" s="24" t="s">
        <v>216</v>
      </c>
      <c r="C313" s="25">
        <v>1116</v>
      </c>
      <c r="D313" s="43" t="s">
        <v>764</v>
      </c>
      <c r="E313" s="1" t="s">
        <v>765</v>
      </c>
      <c r="F313" s="25" t="s">
        <v>31</v>
      </c>
      <c r="G313" s="43" t="s">
        <v>760</v>
      </c>
      <c r="H313" s="47" t="s">
        <v>39</v>
      </c>
      <c r="I313" s="43" t="s">
        <v>24</v>
      </c>
      <c r="J313" s="2" t="s">
        <v>11</v>
      </c>
      <c r="K313" s="47" t="s">
        <v>120</v>
      </c>
      <c r="L313" s="57"/>
      <c r="M313" s="3">
        <v>0.1</v>
      </c>
      <c r="N313" s="3">
        <v>0.1</v>
      </c>
      <c r="O313" s="3">
        <v>0</v>
      </c>
      <c r="P313" s="56"/>
      <c r="Q313" s="56"/>
      <c r="R313" s="64" t="s">
        <v>766</v>
      </c>
      <c r="S313" s="68" t="s">
        <v>41</v>
      </c>
      <c r="T313" s="4" t="s">
        <v>42</v>
      </c>
      <c r="U313" s="1" t="s">
        <v>43</v>
      </c>
      <c r="V313" s="1"/>
      <c r="W313" s="25"/>
    </row>
    <row r="314" spans="1:23" ht="99.75" customHeight="1" x14ac:dyDescent="0.25">
      <c r="A314" s="95" t="s">
        <v>56</v>
      </c>
      <c r="B314" s="24" t="s">
        <v>216</v>
      </c>
      <c r="C314" s="25">
        <v>1116</v>
      </c>
      <c r="D314" s="43" t="s">
        <v>767</v>
      </c>
      <c r="E314" s="1" t="s">
        <v>768</v>
      </c>
      <c r="F314" s="25" t="s">
        <v>46</v>
      </c>
      <c r="G314" s="43" t="s">
        <v>760</v>
      </c>
      <c r="H314" s="47" t="s">
        <v>39</v>
      </c>
      <c r="I314" s="99" t="s">
        <v>51</v>
      </c>
      <c r="J314" s="2" t="s">
        <v>11</v>
      </c>
      <c r="K314" s="47" t="s">
        <v>49</v>
      </c>
      <c r="L314" s="57"/>
      <c r="M314" s="3">
        <v>0.5</v>
      </c>
      <c r="N314" s="3">
        <v>0.5</v>
      </c>
      <c r="O314" s="3">
        <v>0</v>
      </c>
      <c r="P314" s="56"/>
      <c r="Q314" s="56"/>
      <c r="R314" s="64" t="s">
        <v>769</v>
      </c>
      <c r="S314" s="68" t="s">
        <v>41</v>
      </c>
      <c r="T314" s="4" t="s">
        <v>42</v>
      </c>
      <c r="U314" s="1" t="s">
        <v>43</v>
      </c>
      <c r="V314" s="1"/>
      <c r="W314" s="25"/>
    </row>
    <row r="315" spans="1:23" ht="150" customHeight="1" x14ac:dyDescent="0.25">
      <c r="A315" s="95" t="s">
        <v>56</v>
      </c>
      <c r="B315" s="24" t="s">
        <v>216</v>
      </c>
      <c r="C315" s="25">
        <v>1116</v>
      </c>
      <c r="D315" s="43" t="s">
        <v>770</v>
      </c>
      <c r="E315" s="1" t="s">
        <v>771</v>
      </c>
      <c r="F315" s="25" t="s">
        <v>26</v>
      </c>
      <c r="G315" s="43" t="s">
        <v>760</v>
      </c>
      <c r="H315" s="47" t="s">
        <v>39</v>
      </c>
      <c r="I315" s="43" t="s">
        <v>37</v>
      </c>
      <c r="J315" s="2" t="s">
        <v>38</v>
      </c>
      <c r="K315" s="47" t="s">
        <v>39</v>
      </c>
      <c r="L315" s="57"/>
      <c r="M315" s="5"/>
      <c r="N315" s="5"/>
      <c r="O315" s="5"/>
      <c r="P315" s="56"/>
      <c r="Q315" s="56"/>
      <c r="R315" s="64" t="s">
        <v>772</v>
      </c>
      <c r="S315" s="68" t="s">
        <v>41</v>
      </c>
      <c r="T315" s="4" t="s">
        <v>42</v>
      </c>
      <c r="U315" s="1" t="s">
        <v>43</v>
      </c>
      <c r="V315" s="1"/>
      <c r="W315" s="25"/>
    </row>
    <row r="316" spans="1:23" ht="114" customHeight="1" x14ac:dyDescent="0.25">
      <c r="A316" s="95" t="s">
        <v>56</v>
      </c>
      <c r="B316" s="24" t="s">
        <v>216</v>
      </c>
      <c r="C316" s="25">
        <v>1116</v>
      </c>
      <c r="D316" s="43" t="s">
        <v>773</v>
      </c>
      <c r="E316" s="1" t="s">
        <v>774</v>
      </c>
      <c r="F316" s="25" t="s">
        <v>31</v>
      </c>
      <c r="G316" s="43" t="s">
        <v>760</v>
      </c>
      <c r="H316" s="47" t="s">
        <v>39</v>
      </c>
      <c r="I316" s="43" t="s">
        <v>24</v>
      </c>
      <c r="J316" s="2" t="s">
        <v>11</v>
      </c>
      <c r="K316" s="47" t="s">
        <v>120</v>
      </c>
      <c r="L316" s="57"/>
      <c r="M316" s="3">
        <v>1</v>
      </c>
      <c r="N316" s="3">
        <v>1</v>
      </c>
      <c r="O316" s="3">
        <v>0</v>
      </c>
      <c r="P316" s="56"/>
      <c r="Q316" s="56"/>
      <c r="R316" s="64" t="s">
        <v>775</v>
      </c>
      <c r="S316" s="68" t="s">
        <v>41</v>
      </c>
      <c r="T316" s="4" t="s">
        <v>42</v>
      </c>
      <c r="U316" s="1" t="s">
        <v>43</v>
      </c>
      <c r="V316" s="1"/>
      <c r="W316" s="25"/>
    </row>
    <row r="317" spans="1:23" ht="256.5" customHeight="1" x14ac:dyDescent="0.25">
      <c r="A317" s="95" t="s">
        <v>56</v>
      </c>
      <c r="B317" s="24" t="s">
        <v>216</v>
      </c>
      <c r="C317" s="25">
        <v>1799</v>
      </c>
      <c r="D317" s="43" t="s">
        <v>776</v>
      </c>
      <c r="E317" s="1" t="s">
        <v>777</v>
      </c>
      <c r="F317" s="25" t="s">
        <v>26</v>
      </c>
      <c r="G317" s="43" t="s">
        <v>27</v>
      </c>
      <c r="H317" s="47" t="s">
        <v>39</v>
      </c>
      <c r="I317" s="43" t="s">
        <v>28</v>
      </c>
      <c r="J317" s="2" t="s">
        <v>38</v>
      </c>
      <c r="K317" s="47" t="s">
        <v>39</v>
      </c>
      <c r="L317" s="57"/>
      <c r="M317" s="5"/>
      <c r="N317" s="5"/>
      <c r="O317" s="5"/>
      <c r="P317" s="56"/>
      <c r="Q317" s="56"/>
      <c r="R317" s="64" t="s">
        <v>778</v>
      </c>
      <c r="S317" s="68" t="s">
        <v>41</v>
      </c>
      <c r="T317" s="4" t="s">
        <v>42</v>
      </c>
      <c r="U317" s="1" t="s">
        <v>43</v>
      </c>
      <c r="V317" s="1"/>
      <c r="W317" s="25"/>
    </row>
    <row r="318" spans="1:23" ht="71.25" customHeight="1" x14ac:dyDescent="0.25">
      <c r="A318" s="95" t="s">
        <v>56</v>
      </c>
      <c r="B318" s="24" t="s">
        <v>216</v>
      </c>
      <c r="C318" s="25">
        <v>1799</v>
      </c>
      <c r="D318" s="43" t="s">
        <v>779</v>
      </c>
      <c r="E318" s="1" t="s">
        <v>780</v>
      </c>
      <c r="F318" s="25" t="s">
        <v>22</v>
      </c>
      <c r="G318" s="43" t="s">
        <v>155</v>
      </c>
      <c r="H318" s="47" t="s">
        <v>39</v>
      </c>
      <c r="I318" s="99" t="s">
        <v>24</v>
      </c>
      <c r="J318" s="2" t="s">
        <v>11</v>
      </c>
      <c r="K318" s="47" t="s">
        <v>120</v>
      </c>
      <c r="L318" s="57"/>
      <c r="M318" s="3">
        <v>0.4</v>
      </c>
      <c r="N318" s="3">
        <v>0.4</v>
      </c>
      <c r="O318" s="3">
        <v>0</v>
      </c>
      <c r="P318" s="56"/>
      <c r="Q318" s="56"/>
      <c r="R318" s="64" t="s">
        <v>781</v>
      </c>
      <c r="S318" s="68" t="s">
        <v>41</v>
      </c>
      <c r="T318" s="4" t="s">
        <v>42</v>
      </c>
      <c r="U318" s="1" t="s">
        <v>43</v>
      </c>
      <c r="V318" s="1"/>
      <c r="W318" s="25"/>
    </row>
    <row r="319" spans="1:23" ht="99.75" customHeight="1" x14ac:dyDescent="0.25">
      <c r="A319" s="95" t="s">
        <v>56</v>
      </c>
      <c r="B319" s="24" t="s">
        <v>216</v>
      </c>
      <c r="C319" s="25">
        <v>1799</v>
      </c>
      <c r="D319" s="43" t="s">
        <v>782</v>
      </c>
      <c r="E319" s="1" t="s">
        <v>783</v>
      </c>
      <c r="F319" s="25" t="s">
        <v>26</v>
      </c>
      <c r="G319" s="43" t="s">
        <v>155</v>
      </c>
      <c r="H319" s="47" t="s">
        <v>39</v>
      </c>
      <c r="I319" s="43" t="s">
        <v>247</v>
      </c>
      <c r="J319" s="2" t="s">
        <v>38</v>
      </c>
      <c r="K319" s="47" t="s">
        <v>39</v>
      </c>
      <c r="L319" s="57"/>
      <c r="M319" s="5"/>
      <c r="N319" s="5"/>
      <c r="O319" s="5"/>
      <c r="P319" s="56"/>
      <c r="Q319" s="56"/>
      <c r="R319" s="64" t="s">
        <v>784</v>
      </c>
      <c r="S319" s="68" t="s">
        <v>41</v>
      </c>
      <c r="T319" s="4" t="s">
        <v>42</v>
      </c>
      <c r="U319" s="1" t="s">
        <v>43</v>
      </c>
      <c r="V319" s="1"/>
      <c r="W319" s="25"/>
    </row>
    <row r="320" spans="1:23" ht="71.25" customHeight="1" x14ac:dyDescent="0.25">
      <c r="A320" s="95" t="s">
        <v>56</v>
      </c>
      <c r="B320" s="24" t="s">
        <v>216</v>
      </c>
      <c r="C320" s="25">
        <v>1799</v>
      </c>
      <c r="D320" s="43" t="s">
        <v>785</v>
      </c>
      <c r="E320" s="1" t="s">
        <v>786</v>
      </c>
      <c r="F320" s="25" t="s">
        <v>26</v>
      </c>
      <c r="G320" s="43" t="s">
        <v>27</v>
      </c>
      <c r="H320" s="47" t="s">
        <v>39</v>
      </c>
      <c r="I320" s="43" t="s">
        <v>37</v>
      </c>
      <c r="J320" s="2" t="s">
        <v>38</v>
      </c>
      <c r="K320" s="47" t="s">
        <v>39</v>
      </c>
      <c r="L320" s="57"/>
      <c r="M320" s="5"/>
      <c r="N320" s="5"/>
      <c r="O320" s="5"/>
      <c r="P320" s="56"/>
      <c r="Q320" s="56"/>
      <c r="R320" s="64" t="s">
        <v>787</v>
      </c>
      <c r="S320" s="68" t="s">
        <v>41</v>
      </c>
      <c r="T320" s="4" t="s">
        <v>42</v>
      </c>
      <c r="U320" s="1" t="s">
        <v>43</v>
      </c>
      <c r="V320" s="1"/>
      <c r="W320" s="25"/>
    </row>
    <row r="321" spans="1:23" ht="71.25" customHeight="1" x14ac:dyDescent="0.25">
      <c r="A321" s="95" t="s">
        <v>56</v>
      </c>
      <c r="B321" s="24" t="s">
        <v>216</v>
      </c>
      <c r="C321" s="25">
        <v>1799</v>
      </c>
      <c r="D321" s="43" t="s">
        <v>788</v>
      </c>
      <c r="E321" s="1" t="s">
        <v>789</v>
      </c>
      <c r="F321" s="25" t="s">
        <v>26</v>
      </c>
      <c r="G321" s="43" t="s">
        <v>155</v>
      </c>
      <c r="H321" s="47" t="s">
        <v>39</v>
      </c>
      <c r="I321" s="43" t="s">
        <v>37</v>
      </c>
      <c r="J321" s="2" t="s">
        <v>38</v>
      </c>
      <c r="K321" s="47" t="s">
        <v>39</v>
      </c>
      <c r="L321" s="57"/>
      <c r="M321" s="5"/>
      <c r="N321" s="5"/>
      <c r="O321" s="5"/>
      <c r="P321" s="56"/>
      <c r="Q321" s="56"/>
      <c r="R321" s="64" t="s">
        <v>789</v>
      </c>
      <c r="S321" s="68" t="s">
        <v>41</v>
      </c>
      <c r="T321" s="4" t="s">
        <v>42</v>
      </c>
      <c r="U321" s="1" t="s">
        <v>43</v>
      </c>
      <c r="V321" s="1"/>
      <c r="W321" s="25"/>
    </row>
    <row r="322" spans="1:23" ht="70.5" customHeight="1" x14ac:dyDescent="0.25">
      <c r="A322" s="95" t="s">
        <v>56</v>
      </c>
      <c r="B322" s="24" t="s">
        <v>216</v>
      </c>
      <c r="C322" s="25">
        <v>1799</v>
      </c>
      <c r="D322" s="43" t="s">
        <v>790</v>
      </c>
      <c r="E322" s="1" t="s">
        <v>791</v>
      </c>
      <c r="F322" s="25" t="s">
        <v>31</v>
      </c>
      <c r="G322" s="43" t="s">
        <v>155</v>
      </c>
      <c r="H322" s="47" t="s">
        <v>39</v>
      </c>
      <c r="I322" s="43" t="s">
        <v>24</v>
      </c>
      <c r="J322" s="2" t="s">
        <v>11</v>
      </c>
      <c r="K322" s="47" t="s">
        <v>120</v>
      </c>
      <c r="L322" s="57"/>
      <c r="M322" s="3">
        <v>0.5</v>
      </c>
      <c r="N322" s="3">
        <v>0.5</v>
      </c>
      <c r="O322" s="3">
        <v>0</v>
      </c>
      <c r="P322" s="56"/>
      <c r="Q322" s="56"/>
      <c r="R322" s="64" t="s">
        <v>791</v>
      </c>
      <c r="S322" s="68" t="s">
        <v>41</v>
      </c>
      <c r="T322" s="4" t="s">
        <v>42</v>
      </c>
      <c r="U322" s="1" t="s">
        <v>43</v>
      </c>
      <c r="V322" s="1"/>
      <c r="W322" s="25"/>
    </row>
    <row r="323" spans="1:23" ht="157.5" customHeight="1" thickBot="1" x14ac:dyDescent="0.3">
      <c r="A323" s="96" t="s">
        <v>56</v>
      </c>
      <c r="B323" s="26" t="s">
        <v>216</v>
      </c>
      <c r="C323" s="32">
        <v>1799</v>
      </c>
      <c r="D323" s="44" t="s">
        <v>792</v>
      </c>
      <c r="E323" s="27" t="s">
        <v>793</v>
      </c>
      <c r="F323" s="32" t="s">
        <v>22</v>
      </c>
      <c r="G323" s="44" t="s">
        <v>155</v>
      </c>
      <c r="H323" s="48" t="s">
        <v>39</v>
      </c>
      <c r="I323" s="97" t="s">
        <v>24</v>
      </c>
      <c r="J323" s="28" t="s">
        <v>11</v>
      </c>
      <c r="K323" s="48" t="s">
        <v>120</v>
      </c>
      <c r="L323" s="58"/>
      <c r="M323" s="30">
        <v>0.1</v>
      </c>
      <c r="N323" s="30">
        <v>0.1</v>
      </c>
      <c r="O323" s="30">
        <v>0</v>
      </c>
      <c r="P323" s="59"/>
      <c r="Q323" s="59"/>
      <c r="R323" s="65" t="s">
        <v>793</v>
      </c>
      <c r="S323" s="69" t="s">
        <v>41</v>
      </c>
      <c r="T323" s="31" t="s">
        <v>42</v>
      </c>
      <c r="U323" s="27" t="s">
        <v>43</v>
      </c>
      <c r="V323" s="27"/>
      <c r="W323" s="32"/>
    </row>
    <row r="324" spans="1:23" ht="71.25" customHeight="1" x14ac:dyDescent="0.25">
      <c r="A324" s="91" t="s">
        <v>56</v>
      </c>
      <c r="B324" s="18" t="s">
        <v>218</v>
      </c>
      <c r="C324" s="23">
        <v>2301</v>
      </c>
      <c r="D324" s="42" t="s">
        <v>794</v>
      </c>
      <c r="E324" s="19" t="s">
        <v>795</v>
      </c>
      <c r="F324" s="23" t="s">
        <v>26</v>
      </c>
      <c r="G324" s="42" t="s">
        <v>29</v>
      </c>
      <c r="H324" s="46" t="s">
        <v>39</v>
      </c>
      <c r="I324" s="42" t="s">
        <v>28</v>
      </c>
      <c r="J324" s="20" t="s">
        <v>38</v>
      </c>
      <c r="K324" s="46" t="s">
        <v>39</v>
      </c>
      <c r="L324" s="53"/>
      <c r="M324" s="21"/>
      <c r="N324" s="21"/>
      <c r="O324" s="21"/>
      <c r="P324" s="54">
        <v>1.292134831460674</v>
      </c>
      <c r="Q324" s="54">
        <v>1.292134831460674</v>
      </c>
      <c r="R324" s="63" t="s">
        <v>796</v>
      </c>
      <c r="S324" s="67" t="s">
        <v>41</v>
      </c>
      <c r="T324" s="22" t="s">
        <v>42</v>
      </c>
      <c r="U324" s="19" t="s">
        <v>43</v>
      </c>
      <c r="V324" s="19" t="s">
        <v>25</v>
      </c>
      <c r="W324" s="23" t="s">
        <v>797</v>
      </c>
    </row>
    <row r="325" spans="1:23" ht="71.25" customHeight="1" x14ac:dyDescent="0.25">
      <c r="A325" s="92" t="s">
        <v>56</v>
      </c>
      <c r="B325" s="24" t="s">
        <v>218</v>
      </c>
      <c r="C325" s="25">
        <v>2301</v>
      </c>
      <c r="D325" s="43" t="s">
        <v>798</v>
      </c>
      <c r="E325" s="90" t="s">
        <v>799</v>
      </c>
      <c r="F325" s="25" t="s">
        <v>26</v>
      </c>
      <c r="G325" s="43" t="s">
        <v>29</v>
      </c>
      <c r="H325" s="47" t="s">
        <v>39</v>
      </c>
      <c r="I325" s="142"/>
      <c r="J325" s="2" t="s">
        <v>38</v>
      </c>
      <c r="K325" s="47" t="s">
        <v>39</v>
      </c>
      <c r="L325" s="57"/>
      <c r="M325" s="5"/>
      <c r="N325" s="5"/>
      <c r="O325" s="5"/>
      <c r="P325" s="56">
        <v>2.247191011235955E-2</v>
      </c>
      <c r="Q325" s="56">
        <v>2.247191011235955E-2</v>
      </c>
      <c r="R325" s="64" t="s">
        <v>796</v>
      </c>
      <c r="S325" s="68" t="s">
        <v>41</v>
      </c>
      <c r="T325" s="4" t="s">
        <v>42</v>
      </c>
      <c r="U325" s="1" t="s">
        <v>43</v>
      </c>
      <c r="V325" s="1" t="s">
        <v>25</v>
      </c>
      <c r="W325" s="25" t="s">
        <v>800</v>
      </c>
    </row>
    <row r="326" spans="1:23" ht="71.25" customHeight="1" x14ac:dyDescent="0.25">
      <c r="A326" s="92" t="s">
        <v>56</v>
      </c>
      <c r="B326" s="24" t="s">
        <v>218</v>
      </c>
      <c r="C326" s="25">
        <v>2301</v>
      </c>
      <c r="D326" s="43" t="s">
        <v>801</v>
      </c>
      <c r="E326" s="1" t="s">
        <v>802</v>
      </c>
      <c r="F326" s="25" t="s">
        <v>22</v>
      </c>
      <c r="G326" s="43" t="s">
        <v>564</v>
      </c>
      <c r="H326" s="47" t="s">
        <v>39</v>
      </c>
      <c r="I326" s="43" t="s">
        <v>245</v>
      </c>
      <c r="J326" s="2" t="s">
        <v>38</v>
      </c>
      <c r="K326" s="47" t="s">
        <v>39</v>
      </c>
      <c r="L326" s="57"/>
      <c r="M326" s="5"/>
      <c r="N326" s="5"/>
      <c r="O326" s="5"/>
      <c r="P326" s="56">
        <v>1.77213483146067</v>
      </c>
      <c r="Q326" s="56">
        <v>1.77213483146067</v>
      </c>
      <c r="R326" s="64" t="s">
        <v>796</v>
      </c>
      <c r="S326" s="68" t="s">
        <v>41</v>
      </c>
      <c r="T326" s="4" t="s">
        <v>42</v>
      </c>
      <c r="U326" s="1" t="s">
        <v>43</v>
      </c>
      <c r="V326" s="1" t="s">
        <v>25</v>
      </c>
      <c r="W326" s="25" t="s">
        <v>803</v>
      </c>
    </row>
    <row r="327" spans="1:23" ht="71.25" customHeight="1" x14ac:dyDescent="0.25">
      <c r="A327" s="92" t="s">
        <v>56</v>
      </c>
      <c r="B327" s="24" t="s">
        <v>218</v>
      </c>
      <c r="C327" s="25">
        <v>2301</v>
      </c>
      <c r="D327" s="43" t="s">
        <v>801</v>
      </c>
      <c r="E327" s="1" t="s">
        <v>804</v>
      </c>
      <c r="F327" s="25" t="s">
        <v>22</v>
      </c>
      <c r="G327" s="43" t="s">
        <v>564</v>
      </c>
      <c r="H327" s="47" t="s">
        <v>39</v>
      </c>
      <c r="I327" s="43" t="s">
        <v>30</v>
      </c>
      <c r="J327" s="2" t="s">
        <v>38</v>
      </c>
      <c r="K327" s="47" t="s">
        <v>39</v>
      </c>
      <c r="L327" s="57"/>
      <c r="M327" s="5"/>
      <c r="N327" s="5"/>
      <c r="O327" s="5"/>
      <c r="P327" s="56">
        <v>0.02</v>
      </c>
      <c r="Q327" s="56">
        <v>0.02</v>
      </c>
      <c r="R327" s="64" t="s">
        <v>796</v>
      </c>
      <c r="S327" s="68" t="s">
        <v>41</v>
      </c>
      <c r="T327" s="4" t="s">
        <v>42</v>
      </c>
      <c r="U327" s="1" t="s">
        <v>43</v>
      </c>
      <c r="V327" s="1" t="s">
        <v>25</v>
      </c>
      <c r="W327" s="25" t="s">
        <v>800</v>
      </c>
    </row>
    <row r="328" spans="1:23" ht="71.25" customHeight="1" x14ac:dyDescent="0.25">
      <c r="A328" s="92" t="s">
        <v>56</v>
      </c>
      <c r="B328" s="24" t="s">
        <v>218</v>
      </c>
      <c r="C328" s="25">
        <v>2301</v>
      </c>
      <c r="D328" s="43" t="s">
        <v>805</v>
      </c>
      <c r="E328" s="1" t="s">
        <v>806</v>
      </c>
      <c r="F328" s="25" t="s">
        <v>26</v>
      </c>
      <c r="G328" s="43" t="s">
        <v>29</v>
      </c>
      <c r="H328" s="47" t="s">
        <v>39</v>
      </c>
      <c r="I328" s="43" t="s">
        <v>28</v>
      </c>
      <c r="J328" s="2" t="s">
        <v>38</v>
      </c>
      <c r="K328" s="47" t="s">
        <v>39</v>
      </c>
      <c r="L328" s="57"/>
      <c r="M328" s="5"/>
      <c r="N328" s="5"/>
      <c r="O328" s="5"/>
      <c r="P328" s="56">
        <v>0.35617977528089884</v>
      </c>
      <c r="Q328" s="56">
        <v>0.35617977528089884</v>
      </c>
      <c r="R328" s="64" t="s">
        <v>796</v>
      </c>
      <c r="S328" s="68" t="s">
        <v>41</v>
      </c>
      <c r="T328" s="4" t="s">
        <v>42</v>
      </c>
      <c r="U328" s="1" t="s">
        <v>43</v>
      </c>
      <c r="V328" s="1" t="s">
        <v>25</v>
      </c>
      <c r="W328" s="25" t="s">
        <v>797</v>
      </c>
    </row>
    <row r="329" spans="1:23" ht="71.25" customHeight="1" x14ac:dyDescent="0.25">
      <c r="A329" s="92" t="s">
        <v>56</v>
      </c>
      <c r="B329" s="24" t="s">
        <v>218</v>
      </c>
      <c r="C329" s="25">
        <v>2301</v>
      </c>
      <c r="D329" s="43" t="s">
        <v>807</v>
      </c>
      <c r="E329" s="1" t="s">
        <v>808</v>
      </c>
      <c r="F329" s="25" t="s">
        <v>26</v>
      </c>
      <c r="G329" s="43" t="s">
        <v>29</v>
      </c>
      <c r="H329" s="47" t="s">
        <v>39</v>
      </c>
      <c r="I329" s="99" t="s">
        <v>28</v>
      </c>
      <c r="J329" s="2" t="s">
        <v>38</v>
      </c>
      <c r="K329" s="47" t="s">
        <v>39</v>
      </c>
      <c r="L329" s="57"/>
      <c r="M329" s="5"/>
      <c r="N329" s="5"/>
      <c r="O329" s="5"/>
      <c r="P329" s="56">
        <v>4.49438202247191E-2</v>
      </c>
      <c r="Q329" s="56">
        <v>4.49438202247191E-2</v>
      </c>
      <c r="R329" s="64" t="s">
        <v>796</v>
      </c>
      <c r="S329" s="68" t="s">
        <v>41</v>
      </c>
      <c r="T329" s="4" t="s">
        <v>42</v>
      </c>
      <c r="U329" s="1" t="s">
        <v>43</v>
      </c>
      <c r="V329" s="1" t="s">
        <v>25</v>
      </c>
      <c r="W329" s="25" t="s">
        <v>800</v>
      </c>
    </row>
    <row r="330" spans="1:23" ht="71.25" customHeight="1" x14ac:dyDescent="0.25">
      <c r="A330" s="92" t="s">
        <v>56</v>
      </c>
      <c r="B330" s="24" t="s">
        <v>218</v>
      </c>
      <c r="C330" s="25">
        <v>2301</v>
      </c>
      <c r="D330" s="43" t="s">
        <v>809</v>
      </c>
      <c r="E330" s="1" t="s">
        <v>810</v>
      </c>
      <c r="F330" s="25" t="s">
        <v>26</v>
      </c>
      <c r="G330" s="43" t="s">
        <v>27</v>
      </c>
      <c r="H330" s="47" t="s">
        <v>39</v>
      </c>
      <c r="I330" s="43" t="s">
        <v>28</v>
      </c>
      <c r="J330" s="2" t="s">
        <v>38</v>
      </c>
      <c r="K330" s="47" t="s">
        <v>39</v>
      </c>
      <c r="L330" s="57"/>
      <c r="M330" s="5"/>
      <c r="N330" s="5"/>
      <c r="O330" s="5"/>
      <c r="P330" s="56">
        <v>1.3493096292134896</v>
      </c>
      <c r="Q330" s="56">
        <v>1.3493096292134896</v>
      </c>
      <c r="R330" s="64" t="s">
        <v>796</v>
      </c>
      <c r="S330" s="68" t="s">
        <v>41</v>
      </c>
      <c r="T330" s="4" t="s">
        <v>42</v>
      </c>
      <c r="U330" s="1" t="s">
        <v>43</v>
      </c>
      <c r="V330" s="1" t="s">
        <v>25</v>
      </c>
      <c r="W330" s="25" t="s">
        <v>797</v>
      </c>
    </row>
    <row r="331" spans="1:23" ht="72" customHeight="1" thickBot="1" x14ac:dyDescent="0.3">
      <c r="A331" s="93" t="s">
        <v>56</v>
      </c>
      <c r="B331" s="26" t="s">
        <v>218</v>
      </c>
      <c r="C331" s="32">
        <v>2301</v>
      </c>
      <c r="D331" s="44" t="s">
        <v>811</v>
      </c>
      <c r="E331" s="27" t="s">
        <v>812</v>
      </c>
      <c r="F331" s="32" t="s">
        <v>26</v>
      </c>
      <c r="G331" s="44" t="s">
        <v>29</v>
      </c>
      <c r="H331" s="48" t="s">
        <v>39</v>
      </c>
      <c r="I331" s="44" t="s">
        <v>28</v>
      </c>
      <c r="J331" s="28" t="s">
        <v>38</v>
      </c>
      <c r="K331" s="48" t="s">
        <v>39</v>
      </c>
      <c r="L331" s="58"/>
      <c r="M331" s="29"/>
      <c r="N331" s="29"/>
      <c r="O331" s="29"/>
      <c r="P331" s="59">
        <v>0.84269662921348321</v>
      </c>
      <c r="Q331" s="59">
        <v>0.84269662921348321</v>
      </c>
      <c r="R331" s="65" t="s">
        <v>796</v>
      </c>
      <c r="S331" s="69" t="s">
        <v>41</v>
      </c>
      <c r="T331" s="31" t="s">
        <v>42</v>
      </c>
      <c r="U331" s="27" t="s">
        <v>43</v>
      </c>
      <c r="V331" s="27" t="s">
        <v>25</v>
      </c>
      <c r="W331" s="32" t="s">
        <v>797</v>
      </c>
    </row>
    <row r="332" spans="1:23" ht="60.75" customHeight="1" x14ac:dyDescent="0.25">
      <c r="A332" s="94" t="s">
        <v>56</v>
      </c>
      <c r="B332" s="18" t="s">
        <v>202</v>
      </c>
      <c r="C332" s="23">
        <v>1270</v>
      </c>
      <c r="D332" s="42" t="s">
        <v>813</v>
      </c>
      <c r="E332" s="19" t="s">
        <v>814</v>
      </c>
      <c r="F332" s="23" t="s">
        <v>26</v>
      </c>
      <c r="G332" s="143" t="s">
        <v>189</v>
      </c>
      <c r="H332" s="46" t="s">
        <v>36</v>
      </c>
      <c r="I332" s="42" t="s">
        <v>117</v>
      </c>
      <c r="J332" s="20" t="s">
        <v>10</v>
      </c>
      <c r="K332" s="46" t="s">
        <v>120</v>
      </c>
      <c r="L332" s="76">
        <v>2</v>
      </c>
      <c r="M332" s="21"/>
      <c r="N332" s="21"/>
      <c r="O332" s="21"/>
      <c r="P332" s="54">
        <v>2</v>
      </c>
      <c r="Q332" s="54">
        <v>2</v>
      </c>
      <c r="R332" s="63" t="s">
        <v>815</v>
      </c>
      <c r="S332" s="67" t="s">
        <v>41</v>
      </c>
      <c r="T332" s="22" t="s">
        <v>150</v>
      </c>
      <c r="U332" s="19" t="s">
        <v>43</v>
      </c>
      <c r="V332" s="19" t="s">
        <v>117</v>
      </c>
      <c r="W332" s="23"/>
    </row>
    <row r="333" spans="1:23" ht="99.75" customHeight="1" x14ac:dyDescent="0.25">
      <c r="A333" s="95" t="s">
        <v>56</v>
      </c>
      <c r="B333" s="24" t="s">
        <v>202</v>
      </c>
      <c r="C333" s="25">
        <v>1270</v>
      </c>
      <c r="D333" s="43" t="s">
        <v>73</v>
      </c>
      <c r="E333" s="1" t="s">
        <v>816</v>
      </c>
      <c r="F333" s="25" t="s">
        <v>26</v>
      </c>
      <c r="G333" s="144" t="s">
        <v>47</v>
      </c>
      <c r="H333" s="47" t="s">
        <v>36</v>
      </c>
      <c r="I333" s="43" t="s">
        <v>37</v>
      </c>
      <c r="J333" s="2" t="s">
        <v>38</v>
      </c>
      <c r="K333" s="47" t="s">
        <v>39</v>
      </c>
      <c r="L333" s="57"/>
      <c r="M333" s="5"/>
      <c r="N333" s="5"/>
      <c r="O333" s="5"/>
      <c r="P333" s="56">
        <v>3.6</v>
      </c>
      <c r="Q333" s="56">
        <v>3.6</v>
      </c>
      <c r="R333" s="64" t="s">
        <v>817</v>
      </c>
      <c r="S333" s="68" t="s">
        <v>41</v>
      </c>
      <c r="T333" s="4" t="s">
        <v>150</v>
      </c>
      <c r="U333" s="1" t="s">
        <v>43</v>
      </c>
      <c r="V333" s="1" t="s">
        <v>37</v>
      </c>
      <c r="W333" s="25"/>
    </row>
    <row r="334" spans="1:23" ht="85.5" customHeight="1" x14ac:dyDescent="0.25">
      <c r="A334" s="95" t="s">
        <v>56</v>
      </c>
      <c r="B334" s="24" t="s">
        <v>202</v>
      </c>
      <c r="C334" s="25">
        <v>1270</v>
      </c>
      <c r="D334" s="43" t="s">
        <v>818</v>
      </c>
      <c r="E334" s="1" t="s">
        <v>819</v>
      </c>
      <c r="F334" s="25" t="s">
        <v>26</v>
      </c>
      <c r="G334" s="144" t="s">
        <v>35</v>
      </c>
      <c r="H334" s="47" t="s">
        <v>36</v>
      </c>
      <c r="I334" s="43" t="s">
        <v>37</v>
      </c>
      <c r="J334" s="2" t="s">
        <v>38</v>
      </c>
      <c r="K334" s="47" t="s">
        <v>39</v>
      </c>
      <c r="L334" s="57"/>
      <c r="M334" s="5"/>
      <c r="N334" s="5"/>
      <c r="O334" s="5"/>
      <c r="P334" s="56">
        <v>1.5</v>
      </c>
      <c r="Q334" s="56">
        <v>1.5</v>
      </c>
      <c r="R334" s="64" t="s">
        <v>820</v>
      </c>
      <c r="S334" s="68" t="s">
        <v>41</v>
      </c>
      <c r="T334" s="4" t="s">
        <v>150</v>
      </c>
      <c r="U334" s="1" t="s">
        <v>43</v>
      </c>
      <c r="V334" s="1" t="s">
        <v>37</v>
      </c>
      <c r="W334" s="25"/>
    </row>
    <row r="335" spans="1:23" ht="42.75" customHeight="1" x14ac:dyDescent="0.25">
      <c r="A335" s="95" t="s">
        <v>56</v>
      </c>
      <c r="B335" s="24" t="s">
        <v>202</v>
      </c>
      <c r="C335" s="25">
        <v>1270</v>
      </c>
      <c r="D335" s="43" t="s">
        <v>821</v>
      </c>
      <c r="E335" s="1" t="s">
        <v>822</v>
      </c>
      <c r="F335" s="25" t="s">
        <v>26</v>
      </c>
      <c r="G335" s="144" t="s">
        <v>35</v>
      </c>
      <c r="H335" s="47" t="s">
        <v>36</v>
      </c>
      <c r="I335" s="43" t="s">
        <v>28</v>
      </c>
      <c r="J335" s="2" t="s">
        <v>38</v>
      </c>
      <c r="K335" s="47" t="s">
        <v>39</v>
      </c>
      <c r="L335" s="57"/>
      <c r="M335" s="5"/>
      <c r="N335" s="5"/>
      <c r="O335" s="5"/>
      <c r="P335" s="56">
        <v>2.77</v>
      </c>
      <c r="Q335" s="56">
        <v>2.77</v>
      </c>
      <c r="R335" s="64" t="s">
        <v>822</v>
      </c>
      <c r="S335" s="68" t="s">
        <v>41</v>
      </c>
      <c r="T335" s="4" t="s">
        <v>150</v>
      </c>
      <c r="U335" s="1" t="s">
        <v>43</v>
      </c>
      <c r="V335" s="1" t="s">
        <v>28</v>
      </c>
      <c r="W335" s="25"/>
    </row>
    <row r="336" spans="1:23" ht="71.25" customHeight="1" x14ac:dyDescent="0.25">
      <c r="A336" s="95" t="s">
        <v>56</v>
      </c>
      <c r="B336" s="24" t="s">
        <v>202</v>
      </c>
      <c r="C336" s="25">
        <v>1270</v>
      </c>
      <c r="D336" s="43" t="s">
        <v>823</v>
      </c>
      <c r="E336" s="1" t="s">
        <v>824</v>
      </c>
      <c r="F336" s="25" t="s">
        <v>31</v>
      </c>
      <c r="G336" s="144" t="s">
        <v>372</v>
      </c>
      <c r="H336" s="47" t="s">
        <v>36</v>
      </c>
      <c r="I336" s="43" t="s">
        <v>24</v>
      </c>
      <c r="J336" s="2" t="s">
        <v>11</v>
      </c>
      <c r="K336" s="47" t="s">
        <v>120</v>
      </c>
      <c r="L336" s="57"/>
      <c r="M336" s="3">
        <v>0.4</v>
      </c>
      <c r="N336" s="3">
        <v>0.4</v>
      </c>
      <c r="O336" s="3">
        <v>0</v>
      </c>
      <c r="P336" s="56">
        <v>0.4</v>
      </c>
      <c r="Q336" s="56">
        <v>0.4</v>
      </c>
      <c r="R336" s="64" t="s">
        <v>825</v>
      </c>
      <c r="S336" s="68" t="s">
        <v>41</v>
      </c>
      <c r="T336" s="4" t="s">
        <v>150</v>
      </c>
      <c r="U336" s="1" t="s">
        <v>43</v>
      </c>
      <c r="V336" s="1"/>
      <c r="W336" s="25"/>
    </row>
    <row r="337" spans="1:23" ht="60.75" customHeight="1" x14ac:dyDescent="0.25">
      <c r="A337" s="95" t="s">
        <v>56</v>
      </c>
      <c r="B337" s="24" t="s">
        <v>202</v>
      </c>
      <c r="C337" s="25">
        <v>1270</v>
      </c>
      <c r="D337" s="43" t="s">
        <v>826</v>
      </c>
      <c r="E337" s="1" t="s">
        <v>827</v>
      </c>
      <c r="F337" s="25" t="s">
        <v>26</v>
      </c>
      <c r="G337" s="144" t="s">
        <v>372</v>
      </c>
      <c r="H337" s="47" t="s">
        <v>36</v>
      </c>
      <c r="I337" s="43" t="s">
        <v>37</v>
      </c>
      <c r="J337" s="2" t="s">
        <v>38</v>
      </c>
      <c r="K337" s="47" t="s">
        <v>39</v>
      </c>
      <c r="L337" s="57"/>
      <c r="M337" s="5"/>
      <c r="N337" s="5"/>
      <c r="O337" s="5"/>
      <c r="P337" s="56">
        <v>0.7</v>
      </c>
      <c r="Q337" s="56">
        <v>0.7</v>
      </c>
      <c r="R337" s="64" t="s">
        <v>828</v>
      </c>
      <c r="S337" s="68" t="s">
        <v>41</v>
      </c>
      <c r="T337" s="4" t="s">
        <v>150</v>
      </c>
      <c r="U337" s="1" t="s">
        <v>43</v>
      </c>
      <c r="V337" s="1"/>
      <c r="W337" s="25"/>
    </row>
    <row r="338" spans="1:23" ht="49.5" customHeight="1" x14ac:dyDescent="0.25">
      <c r="A338" s="95" t="s">
        <v>56</v>
      </c>
      <c r="B338" s="24" t="s">
        <v>202</v>
      </c>
      <c r="C338" s="25">
        <v>1270</v>
      </c>
      <c r="D338" s="43" t="s">
        <v>829</v>
      </c>
      <c r="E338" s="1" t="s">
        <v>830</v>
      </c>
      <c r="F338" s="25" t="s">
        <v>26</v>
      </c>
      <c r="G338" s="144" t="s">
        <v>465</v>
      </c>
      <c r="H338" s="47" t="s">
        <v>119</v>
      </c>
      <c r="I338" s="99" t="s">
        <v>676</v>
      </c>
      <c r="J338" s="2" t="s">
        <v>10</v>
      </c>
      <c r="K338" s="47" t="s">
        <v>151</v>
      </c>
      <c r="L338" s="55">
        <v>0.01</v>
      </c>
      <c r="M338" s="5"/>
      <c r="N338" s="5"/>
      <c r="O338" s="5"/>
      <c r="P338" s="56">
        <v>0.01</v>
      </c>
      <c r="Q338" s="56">
        <v>0.01</v>
      </c>
      <c r="R338" s="64" t="s">
        <v>831</v>
      </c>
      <c r="S338" s="68" t="s">
        <v>41</v>
      </c>
      <c r="T338" s="4" t="s">
        <v>150</v>
      </c>
      <c r="U338" s="1" t="s">
        <v>43</v>
      </c>
      <c r="V338" s="1"/>
      <c r="W338" s="25"/>
    </row>
    <row r="339" spans="1:23" ht="57" customHeight="1" x14ac:dyDescent="0.25">
      <c r="A339" s="95" t="s">
        <v>56</v>
      </c>
      <c r="B339" s="24" t="s">
        <v>202</v>
      </c>
      <c r="C339" s="25">
        <v>1270</v>
      </c>
      <c r="D339" s="43" t="s">
        <v>832</v>
      </c>
      <c r="E339" s="1" t="s">
        <v>833</v>
      </c>
      <c r="F339" s="25" t="s">
        <v>26</v>
      </c>
      <c r="G339" s="144" t="s">
        <v>183</v>
      </c>
      <c r="H339" s="47" t="s">
        <v>39</v>
      </c>
      <c r="I339" s="43" t="s">
        <v>30</v>
      </c>
      <c r="J339" s="2" t="s">
        <v>38</v>
      </c>
      <c r="K339" s="47" t="s">
        <v>39</v>
      </c>
      <c r="L339" s="57"/>
      <c r="M339" s="5"/>
      <c r="N339" s="5"/>
      <c r="O339" s="5"/>
      <c r="P339" s="56">
        <v>0.02</v>
      </c>
      <c r="Q339" s="56">
        <v>0.02</v>
      </c>
      <c r="R339" s="64" t="s">
        <v>834</v>
      </c>
      <c r="S339" s="68" t="s">
        <v>41</v>
      </c>
      <c r="T339" s="4" t="s">
        <v>150</v>
      </c>
      <c r="U339" s="1" t="s">
        <v>43</v>
      </c>
      <c r="V339" s="1"/>
      <c r="W339" s="25"/>
    </row>
    <row r="340" spans="1:23" ht="57" customHeight="1" x14ac:dyDescent="0.25">
      <c r="A340" s="95" t="s">
        <v>56</v>
      </c>
      <c r="B340" s="24" t="s">
        <v>202</v>
      </c>
      <c r="C340" s="25">
        <v>1270</v>
      </c>
      <c r="D340" s="43" t="s">
        <v>835</v>
      </c>
      <c r="E340" s="1" t="s">
        <v>836</v>
      </c>
      <c r="F340" s="25" t="s">
        <v>26</v>
      </c>
      <c r="G340" s="144" t="s">
        <v>27</v>
      </c>
      <c r="H340" s="47" t="s">
        <v>39</v>
      </c>
      <c r="I340" s="43" t="s">
        <v>28</v>
      </c>
      <c r="J340" s="2" t="s">
        <v>38</v>
      </c>
      <c r="K340" s="47" t="s">
        <v>39</v>
      </c>
      <c r="L340" s="57"/>
      <c r="M340" s="5"/>
      <c r="N340" s="5"/>
      <c r="O340" s="5"/>
      <c r="P340" s="56">
        <v>2.1999999999999999E-2</v>
      </c>
      <c r="Q340" s="56">
        <v>2.1999999999999999E-2</v>
      </c>
      <c r="R340" s="64" t="s">
        <v>836</v>
      </c>
      <c r="S340" s="68" t="s">
        <v>41</v>
      </c>
      <c r="T340" s="4" t="s">
        <v>150</v>
      </c>
      <c r="U340" s="1" t="s">
        <v>43</v>
      </c>
      <c r="V340" s="1"/>
      <c r="W340" s="25"/>
    </row>
    <row r="341" spans="1:23" ht="57.75" customHeight="1" thickBot="1" x14ac:dyDescent="0.3">
      <c r="A341" s="96" t="s">
        <v>56</v>
      </c>
      <c r="B341" s="26" t="s">
        <v>202</v>
      </c>
      <c r="C341" s="32">
        <v>1270</v>
      </c>
      <c r="D341" s="44" t="s">
        <v>835</v>
      </c>
      <c r="E341" s="27" t="s">
        <v>837</v>
      </c>
      <c r="F341" s="32" t="s">
        <v>26</v>
      </c>
      <c r="G341" s="145" t="s">
        <v>230</v>
      </c>
      <c r="H341" s="48" t="s">
        <v>39</v>
      </c>
      <c r="I341" s="44" t="s">
        <v>28</v>
      </c>
      <c r="J341" s="28" t="s">
        <v>38</v>
      </c>
      <c r="K341" s="48" t="s">
        <v>39</v>
      </c>
      <c r="L341" s="58"/>
      <c r="M341" s="29"/>
      <c r="N341" s="29"/>
      <c r="O341" s="29"/>
      <c r="P341" s="59">
        <v>0.2</v>
      </c>
      <c r="Q341" s="59">
        <v>0.2</v>
      </c>
      <c r="R341" s="65" t="s">
        <v>838</v>
      </c>
      <c r="S341" s="69" t="s">
        <v>41</v>
      </c>
      <c r="T341" s="31" t="s">
        <v>150</v>
      </c>
      <c r="U341" s="27" t="s">
        <v>43</v>
      </c>
      <c r="V341" s="27"/>
      <c r="W341" s="32"/>
    </row>
    <row r="342" spans="1:23" ht="57" customHeight="1" x14ac:dyDescent="0.25">
      <c r="A342" s="94" t="s">
        <v>56</v>
      </c>
      <c r="B342" s="18" t="s">
        <v>210</v>
      </c>
      <c r="C342" s="23">
        <v>1229</v>
      </c>
      <c r="D342" s="42" t="s">
        <v>131</v>
      </c>
      <c r="E342" s="19" t="s">
        <v>839</v>
      </c>
      <c r="F342" s="23" t="s">
        <v>26</v>
      </c>
      <c r="G342" s="42" t="s">
        <v>155</v>
      </c>
      <c r="H342" s="46" t="s">
        <v>39</v>
      </c>
      <c r="I342" s="100" t="s">
        <v>192</v>
      </c>
      <c r="J342" s="20" t="s">
        <v>11</v>
      </c>
      <c r="K342" s="46" t="s">
        <v>151</v>
      </c>
      <c r="L342" s="53"/>
      <c r="M342" s="3">
        <v>0.4</v>
      </c>
      <c r="N342" s="3">
        <v>0.4</v>
      </c>
      <c r="O342" s="3">
        <v>0</v>
      </c>
      <c r="P342" s="54">
        <v>0.4</v>
      </c>
      <c r="Q342" s="54">
        <v>0.4</v>
      </c>
      <c r="R342" s="63" t="s">
        <v>840</v>
      </c>
      <c r="S342" s="67" t="s">
        <v>41</v>
      </c>
      <c r="T342" s="22" t="s">
        <v>42</v>
      </c>
      <c r="U342" s="19" t="s">
        <v>43</v>
      </c>
      <c r="V342" s="19" t="s">
        <v>134</v>
      </c>
      <c r="W342" s="23"/>
    </row>
    <row r="343" spans="1:23" ht="57" customHeight="1" x14ac:dyDescent="0.25">
      <c r="A343" s="95" t="s">
        <v>56</v>
      </c>
      <c r="B343" s="24" t="s">
        <v>210</v>
      </c>
      <c r="C343" s="25">
        <v>1229</v>
      </c>
      <c r="D343" s="43" t="s">
        <v>841</v>
      </c>
      <c r="E343" s="1" t="s">
        <v>842</v>
      </c>
      <c r="F343" s="25" t="s">
        <v>186</v>
      </c>
      <c r="G343" s="43" t="s">
        <v>155</v>
      </c>
      <c r="H343" s="47" t="s">
        <v>39</v>
      </c>
      <c r="I343" s="43" t="s">
        <v>28</v>
      </c>
      <c r="J343" s="2" t="s">
        <v>38</v>
      </c>
      <c r="K343" s="47" t="s">
        <v>39</v>
      </c>
      <c r="L343" s="57"/>
      <c r="M343" s="5"/>
      <c r="N343" s="5"/>
      <c r="O343" s="5"/>
      <c r="P343" s="56"/>
      <c r="Q343" s="56"/>
      <c r="R343" s="64" t="s">
        <v>840</v>
      </c>
      <c r="S343" s="68" t="s">
        <v>41</v>
      </c>
      <c r="T343" s="4" t="s">
        <v>42</v>
      </c>
      <c r="U343" s="1" t="s">
        <v>43</v>
      </c>
      <c r="V343" s="1" t="s">
        <v>28</v>
      </c>
      <c r="W343" s="25"/>
    </row>
    <row r="344" spans="1:23" ht="57" customHeight="1" x14ac:dyDescent="0.25">
      <c r="A344" s="95" t="s">
        <v>56</v>
      </c>
      <c r="B344" s="24" t="s">
        <v>210</v>
      </c>
      <c r="C344" s="25">
        <v>1229</v>
      </c>
      <c r="D344" s="43" t="s">
        <v>271</v>
      </c>
      <c r="E344" s="1" t="s">
        <v>843</v>
      </c>
      <c r="F344" s="25" t="s">
        <v>26</v>
      </c>
      <c r="G344" s="43" t="s">
        <v>155</v>
      </c>
      <c r="H344" s="47" t="s">
        <v>39</v>
      </c>
      <c r="I344" s="43" t="s">
        <v>28</v>
      </c>
      <c r="J344" s="2" t="s">
        <v>38</v>
      </c>
      <c r="K344" s="47" t="s">
        <v>39</v>
      </c>
      <c r="L344" s="57"/>
      <c r="M344" s="5"/>
      <c r="N344" s="5"/>
      <c r="O344" s="5"/>
      <c r="P344" s="56"/>
      <c r="Q344" s="56"/>
      <c r="R344" s="64" t="s">
        <v>840</v>
      </c>
      <c r="S344" s="68" t="s">
        <v>41</v>
      </c>
      <c r="T344" s="4" t="s">
        <v>42</v>
      </c>
      <c r="U344" s="1" t="s">
        <v>43</v>
      </c>
      <c r="V344" s="1" t="s">
        <v>28</v>
      </c>
      <c r="W344" s="25"/>
    </row>
    <row r="345" spans="1:23" ht="57" customHeight="1" x14ac:dyDescent="0.25">
      <c r="A345" s="95" t="s">
        <v>56</v>
      </c>
      <c r="B345" s="24" t="s">
        <v>210</v>
      </c>
      <c r="C345" s="25">
        <v>1229</v>
      </c>
      <c r="D345" s="43" t="s">
        <v>277</v>
      </c>
      <c r="E345" s="1" t="s">
        <v>278</v>
      </c>
      <c r="F345" s="25" t="s">
        <v>26</v>
      </c>
      <c r="G345" s="43" t="s">
        <v>155</v>
      </c>
      <c r="H345" s="47" t="s">
        <v>39</v>
      </c>
      <c r="I345" s="43" t="s">
        <v>28</v>
      </c>
      <c r="J345" s="2" t="s">
        <v>38</v>
      </c>
      <c r="K345" s="47" t="s">
        <v>39</v>
      </c>
      <c r="L345" s="57"/>
      <c r="M345" s="5"/>
      <c r="N345" s="5"/>
      <c r="O345" s="5"/>
      <c r="P345" s="56"/>
      <c r="Q345" s="56"/>
      <c r="R345" s="64" t="s">
        <v>840</v>
      </c>
      <c r="S345" s="68" t="s">
        <v>41</v>
      </c>
      <c r="T345" s="4" t="s">
        <v>42</v>
      </c>
      <c r="U345" s="1" t="s">
        <v>43</v>
      </c>
      <c r="V345" s="1" t="s">
        <v>28</v>
      </c>
      <c r="W345" s="25"/>
    </row>
    <row r="346" spans="1:23" ht="57" customHeight="1" x14ac:dyDescent="0.25">
      <c r="A346" s="95" t="s">
        <v>56</v>
      </c>
      <c r="B346" s="24" t="s">
        <v>210</v>
      </c>
      <c r="C346" s="25">
        <v>1229</v>
      </c>
      <c r="D346" s="43" t="s">
        <v>844</v>
      </c>
      <c r="E346" s="1" t="s">
        <v>845</v>
      </c>
      <c r="F346" s="25" t="s">
        <v>26</v>
      </c>
      <c r="G346" s="43" t="s">
        <v>155</v>
      </c>
      <c r="H346" s="47" t="s">
        <v>39</v>
      </c>
      <c r="I346" s="43" t="s">
        <v>28</v>
      </c>
      <c r="J346" s="2" t="s">
        <v>38</v>
      </c>
      <c r="K346" s="47" t="s">
        <v>39</v>
      </c>
      <c r="L346" s="57"/>
      <c r="M346" s="5"/>
      <c r="N346" s="5"/>
      <c r="O346" s="5"/>
      <c r="P346" s="56"/>
      <c r="Q346" s="56"/>
      <c r="R346" s="64" t="s">
        <v>840</v>
      </c>
      <c r="S346" s="68" t="s">
        <v>41</v>
      </c>
      <c r="T346" s="4" t="s">
        <v>42</v>
      </c>
      <c r="U346" s="1" t="s">
        <v>43</v>
      </c>
      <c r="V346" s="1" t="s">
        <v>28</v>
      </c>
      <c r="W346" s="25"/>
    </row>
    <row r="347" spans="1:23" ht="57" customHeight="1" x14ac:dyDescent="0.25">
      <c r="A347" s="95" t="s">
        <v>56</v>
      </c>
      <c r="B347" s="24" t="s">
        <v>210</v>
      </c>
      <c r="C347" s="25">
        <v>1229</v>
      </c>
      <c r="D347" s="43" t="s">
        <v>846</v>
      </c>
      <c r="E347" s="1" t="s">
        <v>847</v>
      </c>
      <c r="F347" s="25" t="s">
        <v>22</v>
      </c>
      <c r="G347" s="43" t="s">
        <v>23</v>
      </c>
      <c r="H347" s="47" t="s">
        <v>36</v>
      </c>
      <c r="I347" s="43" t="s">
        <v>24</v>
      </c>
      <c r="J347" s="2" t="s">
        <v>11</v>
      </c>
      <c r="K347" s="47" t="s">
        <v>120</v>
      </c>
      <c r="L347" s="57"/>
      <c r="M347" s="3">
        <v>3.5339999999999998</v>
      </c>
      <c r="N347" s="3">
        <v>3.5339999999999998</v>
      </c>
      <c r="O347" s="3">
        <v>0</v>
      </c>
      <c r="P347" s="56"/>
      <c r="Q347" s="56"/>
      <c r="R347" s="64"/>
      <c r="S347" s="68" t="s">
        <v>41</v>
      </c>
      <c r="T347" s="4" t="s">
        <v>42</v>
      </c>
      <c r="U347" s="1" t="s">
        <v>43</v>
      </c>
      <c r="V347" s="1" t="s">
        <v>24</v>
      </c>
      <c r="W347" s="25"/>
    </row>
    <row r="348" spans="1:23" ht="71.25" customHeight="1" x14ac:dyDescent="0.25">
      <c r="A348" s="95" t="s">
        <v>56</v>
      </c>
      <c r="B348" s="24" t="s">
        <v>210</v>
      </c>
      <c r="C348" s="25">
        <v>1229</v>
      </c>
      <c r="D348" s="43" t="s">
        <v>250</v>
      </c>
      <c r="E348" s="1" t="s">
        <v>251</v>
      </c>
      <c r="F348" s="25" t="s">
        <v>22</v>
      </c>
      <c r="G348" s="43" t="s">
        <v>47</v>
      </c>
      <c r="H348" s="47" t="s">
        <v>36</v>
      </c>
      <c r="I348" s="43" t="s">
        <v>117</v>
      </c>
      <c r="J348" s="2" t="s">
        <v>10</v>
      </c>
      <c r="K348" s="47" t="s">
        <v>120</v>
      </c>
      <c r="L348" s="55">
        <v>5.2759999999999998</v>
      </c>
      <c r="M348" s="5"/>
      <c r="N348" s="5"/>
      <c r="O348" s="5"/>
      <c r="P348" s="56"/>
      <c r="Q348" s="56"/>
      <c r="R348" s="64"/>
      <c r="S348" s="68" t="s">
        <v>41</v>
      </c>
      <c r="T348" s="4" t="s">
        <v>42</v>
      </c>
      <c r="U348" s="1" t="s">
        <v>43</v>
      </c>
      <c r="V348" s="1" t="s">
        <v>117</v>
      </c>
      <c r="W348" s="25"/>
    </row>
    <row r="349" spans="1:23" ht="42.75" customHeight="1" x14ac:dyDescent="0.25">
      <c r="A349" s="95" t="s">
        <v>56</v>
      </c>
      <c r="B349" s="24" t="s">
        <v>210</v>
      </c>
      <c r="C349" s="25">
        <v>1229</v>
      </c>
      <c r="D349" s="43" t="s">
        <v>848</v>
      </c>
      <c r="E349" s="1" t="s">
        <v>849</v>
      </c>
      <c r="F349" s="25" t="s">
        <v>26</v>
      </c>
      <c r="G349" s="43" t="s">
        <v>23</v>
      </c>
      <c r="H349" s="47" t="s">
        <v>36</v>
      </c>
      <c r="I349" s="99" t="s">
        <v>51</v>
      </c>
      <c r="J349" s="2" t="s">
        <v>11</v>
      </c>
      <c r="K349" s="47" t="s">
        <v>49</v>
      </c>
      <c r="L349" s="57"/>
      <c r="M349" s="3">
        <v>0.3</v>
      </c>
      <c r="N349" s="3">
        <v>0.3</v>
      </c>
      <c r="O349" s="3">
        <v>0</v>
      </c>
      <c r="P349" s="56"/>
      <c r="Q349" s="56"/>
      <c r="R349" s="64"/>
      <c r="S349" s="68" t="s">
        <v>41</v>
      </c>
      <c r="T349" s="4" t="s">
        <v>42</v>
      </c>
      <c r="U349" s="1" t="s">
        <v>43</v>
      </c>
      <c r="V349" s="1" t="s">
        <v>48</v>
      </c>
      <c r="W349" s="25"/>
    </row>
    <row r="350" spans="1:23" ht="34.5" customHeight="1" x14ac:dyDescent="0.25">
      <c r="A350" s="95" t="s">
        <v>56</v>
      </c>
      <c r="B350" s="24" t="s">
        <v>210</v>
      </c>
      <c r="C350" s="25">
        <v>1229</v>
      </c>
      <c r="D350" s="43" t="s">
        <v>850</v>
      </c>
      <c r="E350" s="1" t="s">
        <v>851</v>
      </c>
      <c r="F350" s="25" t="s">
        <v>26</v>
      </c>
      <c r="G350" s="43" t="s">
        <v>23</v>
      </c>
      <c r="H350" s="47" t="s">
        <v>36</v>
      </c>
      <c r="I350" s="99" t="s">
        <v>37</v>
      </c>
      <c r="J350" s="2" t="s">
        <v>38</v>
      </c>
      <c r="K350" s="47" t="s">
        <v>39</v>
      </c>
      <c r="L350" s="57"/>
      <c r="M350" s="5"/>
      <c r="N350" s="5"/>
      <c r="O350" s="5"/>
      <c r="P350" s="56"/>
      <c r="Q350" s="56">
        <v>0.3</v>
      </c>
      <c r="R350" s="64"/>
      <c r="S350" s="68" t="s">
        <v>41</v>
      </c>
      <c r="T350" s="4" t="s">
        <v>42</v>
      </c>
      <c r="U350" s="1" t="s">
        <v>43</v>
      </c>
      <c r="V350" s="1" t="s">
        <v>399</v>
      </c>
      <c r="W350" s="25"/>
    </row>
    <row r="351" spans="1:23" ht="71.25" customHeight="1" x14ac:dyDescent="0.25">
      <c r="A351" s="95" t="s">
        <v>56</v>
      </c>
      <c r="B351" s="24" t="s">
        <v>210</v>
      </c>
      <c r="C351" s="25">
        <v>1229</v>
      </c>
      <c r="D351" s="43" t="s">
        <v>852</v>
      </c>
      <c r="E351" s="1" t="s">
        <v>853</v>
      </c>
      <c r="F351" s="25" t="s">
        <v>31</v>
      </c>
      <c r="G351" s="43" t="s">
        <v>23</v>
      </c>
      <c r="H351" s="47" t="s">
        <v>36</v>
      </c>
      <c r="I351" s="43" t="s">
        <v>199</v>
      </c>
      <c r="J351" s="2" t="s">
        <v>11</v>
      </c>
      <c r="K351" s="47" t="s">
        <v>151</v>
      </c>
      <c r="L351" s="57"/>
      <c r="M351" s="3">
        <v>0.01</v>
      </c>
      <c r="N351" s="3">
        <v>0.01</v>
      </c>
      <c r="O351" s="3">
        <v>0</v>
      </c>
      <c r="P351" s="56"/>
      <c r="Q351" s="56"/>
      <c r="R351" s="64"/>
      <c r="S351" s="68" t="s">
        <v>41</v>
      </c>
      <c r="T351" s="4" t="s">
        <v>42</v>
      </c>
      <c r="U351" s="1" t="s">
        <v>43</v>
      </c>
      <c r="V351" s="1" t="s">
        <v>199</v>
      </c>
      <c r="W351" s="25"/>
    </row>
    <row r="352" spans="1:23" ht="85.5" customHeight="1" x14ac:dyDescent="0.25">
      <c r="A352" s="95" t="s">
        <v>56</v>
      </c>
      <c r="B352" s="24" t="s">
        <v>210</v>
      </c>
      <c r="C352" s="25">
        <v>1199</v>
      </c>
      <c r="D352" s="43" t="s">
        <v>250</v>
      </c>
      <c r="E352" s="1" t="s">
        <v>854</v>
      </c>
      <c r="F352" s="25" t="s">
        <v>22</v>
      </c>
      <c r="G352" s="43" t="s">
        <v>23</v>
      </c>
      <c r="H352" s="47" t="s">
        <v>36</v>
      </c>
      <c r="I352" s="43" t="s">
        <v>24</v>
      </c>
      <c r="J352" s="2" t="s">
        <v>11</v>
      </c>
      <c r="K352" s="47" t="s">
        <v>120</v>
      </c>
      <c r="L352" s="57"/>
      <c r="M352" s="3">
        <v>0.63400000000000001</v>
      </c>
      <c r="N352" s="3">
        <v>0.63400000000000001</v>
      </c>
      <c r="O352" s="3">
        <v>0</v>
      </c>
      <c r="P352" s="56">
        <v>0.63400000000000001</v>
      </c>
      <c r="Q352" s="56">
        <v>0.63400000000000001</v>
      </c>
      <c r="R352" s="64" t="s">
        <v>855</v>
      </c>
      <c r="S352" s="68" t="s">
        <v>41</v>
      </c>
      <c r="T352" s="4" t="s">
        <v>42</v>
      </c>
      <c r="U352" s="1" t="s">
        <v>43</v>
      </c>
      <c r="V352" s="1" t="s">
        <v>24</v>
      </c>
      <c r="W352" s="25"/>
    </row>
    <row r="353" spans="1:23" ht="71.25" customHeight="1" x14ac:dyDescent="0.25">
      <c r="A353" s="95" t="s">
        <v>56</v>
      </c>
      <c r="B353" s="24" t="s">
        <v>210</v>
      </c>
      <c r="C353" s="25">
        <v>1199</v>
      </c>
      <c r="D353" s="43" t="s">
        <v>250</v>
      </c>
      <c r="E353" s="1" t="s">
        <v>856</v>
      </c>
      <c r="F353" s="25" t="s">
        <v>22</v>
      </c>
      <c r="G353" s="43" t="s">
        <v>23</v>
      </c>
      <c r="H353" s="47" t="s">
        <v>36</v>
      </c>
      <c r="I353" s="43" t="s">
        <v>24</v>
      </c>
      <c r="J353" s="2" t="s">
        <v>11</v>
      </c>
      <c r="K353" s="47" t="s">
        <v>120</v>
      </c>
      <c r="L353" s="57"/>
      <c r="M353" s="3">
        <v>0.63400000000000001</v>
      </c>
      <c r="N353" s="3">
        <v>0.63400000000000001</v>
      </c>
      <c r="O353" s="3">
        <v>0</v>
      </c>
      <c r="P353" s="56">
        <v>0.63400000000000001</v>
      </c>
      <c r="Q353" s="56">
        <v>0.63400000000000001</v>
      </c>
      <c r="R353" s="64" t="s">
        <v>855</v>
      </c>
      <c r="S353" s="68" t="s">
        <v>41</v>
      </c>
      <c r="T353" s="4" t="s">
        <v>42</v>
      </c>
      <c r="U353" s="1" t="s">
        <v>43</v>
      </c>
      <c r="V353" s="1" t="s">
        <v>24</v>
      </c>
      <c r="W353" s="25"/>
    </row>
    <row r="354" spans="1:23" ht="99.75" customHeight="1" x14ac:dyDescent="0.25">
      <c r="A354" s="95" t="s">
        <v>56</v>
      </c>
      <c r="B354" s="24" t="s">
        <v>210</v>
      </c>
      <c r="C354" s="25">
        <v>1199</v>
      </c>
      <c r="D354" s="43" t="s">
        <v>250</v>
      </c>
      <c r="E354" s="1" t="s">
        <v>857</v>
      </c>
      <c r="F354" s="25" t="s">
        <v>22</v>
      </c>
      <c r="G354" s="43" t="s">
        <v>23</v>
      </c>
      <c r="H354" s="47" t="s">
        <v>36</v>
      </c>
      <c r="I354" s="43" t="s">
        <v>24</v>
      </c>
      <c r="J354" s="2" t="s">
        <v>11</v>
      </c>
      <c r="K354" s="47" t="s">
        <v>120</v>
      </c>
      <c r="L354" s="57"/>
      <c r="M354" s="3">
        <v>0.127</v>
      </c>
      <c r="N354" s="3">
        <v>0.127</v>
      </c>
      <c r="O354" s="3">
        <v>0</v>
      </c>
      <c r="P354" s="56">
        <v>0.127</v>
      </c>
      <c r="Q354" s="56">
        <v>0.127</v>
      </c>
      <c r="R354" s="64" t="s">
        <v>855</v>
      </c>
      <c r="S354" s="68" t="s">
        <v>41</v>
      </c>
      <c r="T354" s="4" t="s">
        <v>42</v>
      </c>
      <c r="U354" s="1" t="s">
        <v>43</v>
      </c>
      <c r="V354" s="1" t="s">
        <v>24</v>
      </c>
      <c r="W354" s="25"/>
    </row>
    <row r="355" spans="1:23" ht="114" customHeight="1" x14ac:dyDescent="0.25">
      <c r="A355" s="95" t="s">
        <v>56</v>
      </c>
      <c r="B355" s="24" t="s">
        <v>210</v>
      </c>
      <c r="C355" s="25">
        <v>1328</v>
      </c>
      <c r="D355" s="43" t="s">
        <v>250</v>
      </c>
      <c r="E355" s="1" t="s">
        <v>858</v>
      </c>
      <c r="F355" s="25" t="s">
        <v>22</v>
      </c>
      <c r="G355" s="43" t="s">
        <v>23</v>
      </c>
      <c r="H355" s="47" t="s">
        <v>36</v>
      </c>
      <c r="I355" s="43" t="s">
        <v>24</v>
      </c>
      <c r="J355" s="2" t="s">
        <v>11</v>
      </c>
      <c r="K355" s="47" t="s">
        <v>120</v>
      </c>
      <c r="L355" s="57"/>
      <c r="M355" s="3">
        <v>0.46700000000000003</v>
      </c>
      <c r="N355" s="3">
        <v>0.46700000000000003</v>
      </c>
      <c r="O355" s="3">
        <v>0</v>
      </c>
      <c r="P355" s="56">
        <v>0.46700000000000003</v>
      </c>
      <c r="Q355" s="56">
        <v>0.46700000000000003</v>
      </c>
      <c r="R355" s="64" t="s">
        <v>859</v>
      </c>
      <c r="S355" s="68" t="s">
        <v>41</v>
      </c>
      <c r="T355" s="4" t="s">
        <v>42</v>
      </c>
      <c r="U355" s="1" t="s">
        <v>43</v>
      </c>
      <c r="V355" s="1" t="s">
        <v>24</v>
      </c>
      <c r="W355" s="25"/>
    </row>
    <row r="356" spans="1:23" ht="85.5" customHeight="1" x14ac:dyDescent="0.25">
      <c r="A356" s="95" t="s">
        <v>56</v>
      </c>
      <c r="B356" s="24" t="s">
        <v>210</v>
      </c>
      <c r="C356" s="25">
        <v>1199</v>
      </c>
      <c r="D356" s="43" t="s">
        <v>860</v>
      </c>
      <c r="E356" s="1" t="s">
        <v>861</v>
      </c>
      <c r="F356" s="25" t="s">
        <v>31</v>
      </c>
      <c r="G356" s="43" t="s">
        <v>242</v>
      </c>
      <c r="H356" s="47" t="s">
        <v>39</v>
      </c>
      <c r="I356" s="43" t="s">
        <v>24</v>
      </c>
      <c r="J356" s="2" t="s">
        <v>11</v>
      </c>
      <c r="K356" s="47" t="s">
        <v>120</v>
      </c>
      <c r="L356" s="57"/>
      <c r="M356" s="3">
        <v>0.42099999999999999</v>
      </c>
      <c r="N356" s="3">
        <v>0.42099999999999999</v>
      </c>
      <c r="O356" s="3">
        <v>0</v>
      </c>
      <c r="P356" s="56">
        <v>0.42099999999999999</v>
      </c>
      <c r="Q356" s="56">
        <v>0.42099999999999999</v>
      </c>
      <c r="R356" s="64" t="s">
        <v>862</v>
      </c>
      <c r="S356" s="68" t="s">
        <v>41</v>
      </c>
      <c r="T356" s="4" t="s">
        <v>42</v>
      </c>
      <c r="U356" s="1" t="s">
        <v>43</v>
      </c>
      <c r="V356" s="1" t="s">
        <v>24</v>
      </c>
      <c r="W356" s="25"/>
    </row>
    <row r="357" spans="1:23" ht="71.25" customHeight="1" x14ac:dyDescent="0.25">
      <c r="A357" s="95" t="s">
        <v>56</v>
      </c>
      <c r="B357" s="24" t="s">
        <v>210</v>
      </c>
      <c r="C357" s="25">
        <v>1199</v>
      </c>
      <c r="D357" s="43" t="s">
        <v>863</v>
      </c>
      <c r="E357" s="1" t="s">
        <v>864</v>
      </c>
      <c r="F357" s="25" t="s">
        <v>31</v>
      </c>
      <c r="G357" s="43" t="s">
        <v>140</v>
      </c>
      <c r="H357" s="47" t="s">
        <v>39</v>
      </c>
      <c r="I357" s="43" t="s">
        <v>24</v>
      </c>
      <c r="J357" s="2" t="s">
        <v>11</v>
      </c>
      <c r="K357" s="47" t="s">
        <v>120</v>
      </c>
      <c r="L357" s="57"/>
      <c r="M357" s="3">
        <v>0.11899999999999999</v>
      </c>
      <c r="N357" s="3">
        <v>0.11899999999999999</v>
      </c>
      <c r="O357" s="3">
        <v>0</v>
      </c>
      <c r="P357" s="56">
        <v>0.11899999999999999</v>
      </c>
      <c r="Q357" s="56">
        <v>0.11899999999999999</v>
      </c>
      <c r="R357" s="64" t="s">
        <v>865</v>
      </c>
      <c r="S357" s="68" t="s">
        <v>41</v>
      </c>
      <c r="T357" s="4" t="s">
        <v>42</v>
      </c>
      <c r="U357" s="1" t="s">
        <v>43</v>
      </c>
      <c r="V357" s="1" t="s">
        <v>24</v>
      </c>
      <c r="W357" s="25"/>
    </row>
    <row r="358" spans="1:23" ht="103.5" customHeight="1" x14ac:dyDescent="0.25">
      <c r="A358" s="95" t="s">
        <v>56</v>
      </c>
      <c r="B358" s="24" t="s">
        <v>210</v>
      </c>
      <c r="C358" s="25">
        <v>1199</v>
      </c>
      <c r="D358" s="43" t="s">
        <v>866</v>
      </c>
      <c r="E358" s="1" t="s">
        <v>867</v>
      </c>
      <c r="F358" s="25" t="s">
        <v>26</v>
      </c>
      <c r="G358" s="43" t="s">
        <v>155</v>
      </c>
      <c r="H358" s="47" t="s">
        <v>39</v>
      </c>
      <c r="I358" s="43" t="s">
        <v>24</v>
      </c>
      <c r="J358" s="2" t="s">
        <v>11</v>
      </c>
      <c r="K358" s="47" t="s">
        <v>120</v>
      </c>
      <c r="L358" s="57"/>
      <c r="M358" s="3">
        <v>4.4999999999999998E-2</v>
      </c>
      <c r="N358" s="3">
        <v>4.4999999999999998E-2</v>
      </c>
      <c r="O358" s="3">
        <v>0</v>
      </c>
      <c r="P358" s="56">
        <v>4.4999999999999998E-2</v>
      </c>
      <c r="Q358" s="56">
        <v>4.4999999999999998E-2</v>
      </c>
      <c r="R358" s="64" t="s">
        <v>868</v>
      </c>
      <c r="S358" s="68" t="s">
        <v>41</v>
      </c>
      <c r="T358" s="4" t="s">
        <v>42</v>
      </c>
      <c r="U358" s="1" t="s">
        <v>43</v>
      </c>
      <c r="V358" s="1" t="s">
        <v>24</v>
      </c>
      <c r="W358" s="25"/>
    </row>
    <row r="359" spans="1:23" ht="85.5" customHeight="1" x14ac:dyDescent="0.25">
      <c r="A359" s="95" t="s">
        <v>56</v>
      </c>
      <c r="B359" s="24" t="s">
        <v>210</v>
      </c>
      <c r="C359" s="25">
        <v>1328</v>
      </c>
      <c r="D359" s="43" t="s">
        <v>863</v>
      </c>
      <c r="E359" s="1" t="s">
        <v>869</v>
      </c>
      <c r="F359" s="25" t="s">
        <v>31</v>
      </c>
      <c r="G359" s="43" t="s">
        <v>140</v>
      </c>
      <c r="H359" s="47" t="s">
        <v>39</v>
      </c>
      <c r="I359" s="43" t="s">
        <v>24</v>
      </c>
      <c r="J359" s="2" t="s">
        <v>11</v>
      </c>
      <c r="K359" s="47" t="s">
        <v>120</v>
      </c>
      <c r="L359" s="57"/>
      <c r="M359" s="3">
        <v>0.04</v>
      </c>
      <c r="N359" s="3">
        <v>0.04</v>
      </c>
      <c r="O359" s="3">
        <v>0</v>
      </c>
      <c r="P359" s="56">
        <v>0.04</v>
      </c>
      <c r="Q359" s="56">
        <v>0.04</v>
      </c>
      <c r="R359" s="64" t="s">
        <v>870</v>
      </c>
      <c r="S359" s="68" t="s">
        <v>41</v>
      </c>
      <c r="T359" s="4" t="s">
        <v>42</v>
      </c>
      <c r="U359" s="1" t="s">
        <v>43</v>
      </c>
      <c r="V359" s="1" t="s">
        <v>24</v>
      </c>
      <c r="W359" s="25"/>
    </row>
    <row r="360" spans="1:23" ht="114" customHeight="1" x14ac:dyDescent="0.25">
      <c r="A360" s="95" t="s">
        <v>56</v>
      </c>
      <c r="B360" s="24" t="s">
        <v>210</v>
      </c>
      <c r="C360" s="25">
        <v>1199</v>
      </c>
      <c r="D360" s="43" t="s">
        <v>250</v>
      </c>
      <c r="E360" s="1" t="s">
        <v>858</v>
      </c>
      <c r="F360" s="25" t="s">
        <v>22</v>
      </c>
      <c r="G360" s="43" t="s">
        <v>23</v>
      </c>
      <c r="H360" s="47" t="s">
        <v>36</v>
      </c>
      <c r="I360" s="43" t="s">
        <v>24</v>
      </c>
      <c r="J360" s="2" t="s">
        <v>11</v>
      </c>
      <c r="K360" s="47" t="s">
        <v>120</v>
      </c>
      <c r="L360" s="57"/>
      <c r="M360" s="3">
        <v>9.9000000000000005E-2</v>
      </c>
      <c r="N360" s="3">
        <v>9.9000000000000005E-2</v>
      </c>
      <c r="O360" s="3">
        <v>0</v>
      </c>
      <c r="P360" s="56">
        <v>9.9000000000000005E-2</v>
      </c>
      <c r="Q360" s="56">
        <v>9.9000000000000005E-2</v>
      </c>
      <c r="R360" s="64" t="s">
        <v>871</v>
      </c>
      <c r="S360" s="68" t="s">
        <v>41</v>
      </c>
      <c r="T360" s="4" t="s">
        <v>42</v>
      </c>
      <c r="U360" s="1" t="s">
        <v>43</v>
      </c>
      <c r="V360" s="1" t="s">
        <v>24</v>
      </c>
      <c r="W360" s="25"/>
    </row>
    <row r="361" spans="1:23" ht="85.5" customHeight="1" x14ac:dyDescent="0.25">
      <c r="A361" s="95" t="s">
        <v>56</v>
      </c>
      <c r="B361" s="24" t="s">
        <v>210</v>
      </c>
      <c r="C361" s="25">
        <v>1199</v>
      </c>
      <c r="D361" s="43" t="s">
        <v>863</v>
      </c>
      <c r="E361" s="1" t="s">
        <v>869</v>
      </c>
      <c r="F361" s="25" t="s">
        <v>31</v>
      </c>
      <c r="G361" s="43" t="s">
        <v>140</v>
      </c>
      <c r="H361" s="47" t="s">
        <v>39</v>
      </c>
      <c r="I361" s="43" t="s">
        <v>24</v>
      </c>
      <c r="J361" s="2" t="s">
        <v>11</v>
      </c>
      <c r="K361" s="47" t="s">
        <v>120</v>
      </c>
      <c r="L361" s="57"/>
      <c r="M361" s="3">
        <v>0.1</v>
      </c>
      <c r="N361" s="3">
        <v>0.1</v>
      </c>
      <c r="O361" s="3">
        <v>0</v>
      </c>
      <c r="P361" s="56">
        <v>0.1</v>
      </c>
      <c r="Q361" s="56">
        <v>0.1</v>
      </c>
      <c r="R361" s="64" t="s">
        <v>872</v>
      </c>
      <c r="S361" s="68" t="s">
        <v>41</v>
      </c>
      <c r="T361" s="4" t="s">
        <v>42</v>
      </c>
      <c r="U361" s="1" t="s">
        <v>43</v>
      </c>
      <c r="V361" s="1" t="s">
        <v>24</v>
      </c>
      <c r="W361" s="25"/>
    </row>
    <row r="362" spans="1:23" ht="85.5" customHeight="1" x14ac:dyDescent="0.25">
      <c r="A362" s="95" t="s">
        <v>56</v>
      </c>
      <c r="B362" s="24" t="s">
        <v>210</v>
      </c>
      <c r="C362" s="25">
        <v>1799</v>
      </c>
      <c r="D362" s="43" t="s">
        <v>863</v>
      </c>
      <c r="E362" s="1" t="s">
        <v>869</v>
      </c>
      <c r="F362" s="25" t="s">
        <v>31</v>
      </c>
      <c r="G362" s="43" t="s">
        <v>140</v>
      </c>
      <c r="H362" s="47" t="s">
        <v>39</v>
      </c>
      <c r="I362" s="43" t="s">
        <v>24</v>
      </c>
      <c r="J362" s="2" t="s">
        <v>11</v>
      </c>
      <c r="K362" s="47" t="s">
        <v>120</v>
      </c>
      <c r="L362" s="57"/>
      <c r="M362" s="3">
        <v>0.08</v>
      </c>
      <c r="N362" s="3">
        <v>0.08</v>
      </c>
      <c r="O362" s="3">
        <v>0</v>
      </c>
      <c r="P362" s="56">
        <v>0.08</v>
      </c>
      <c r="Q362" s="56">
        <v>0.08</v>
      </c>
      <c r="R362" s="64" t="s">
        <v>873</v>
      </c>
      <c r="S362" s="68" t="s">
        <v>41</v>
      </c>
      <c r="T362" s="4" t="s">
        <v>42</v>
      </c>
      <c r="U362" s="1" t="s">
        <v>43</v>
      </c>
      <c r="V362" s="1" t="s">
        <v>24</v>
      </c>
      <c r="W362" s="25"/>
    </row>
    <row r="363" spans="1:23" ht="85.5" customHeight="1" x14ac:dyDescent="0.25">
      <c r="A363" s="95" t="s">
        <v>56</v>
      </c>
      <c r="B363" s="24" t="s">
        <v>210</v>
      </c>
      <c r="C363" s="25">
        <v>1799</v>
      </c>
      <c r="D363" s="43" t="s">
        <v>860</v>
      </c>
      <c r="E363" s="1" t="s">
        <v>861</v>
      </c>
      <c r="F363" s="25" t="s">
        <v>31</v>
      </c>
      <c r="G363" s="43" t="s">
        <v>242</v>
      </c>
      <c r="H363" s="47" t="s">
        <v>39</v>
      </c>
      <c r="I363" s="43" t="s">
        <v>24</v>
      </c>
      <c r="J363" s="2" t="s">
        <v>11</v>
      </c>
      <c r="K363" s="47" t="s">
        <v>120</v>
      </c>
      <c r="L363" s="57"/>
      <c r="M363" s="3">
        <v>0.11000000000000001</v>
      </c>
      <c r="N363" s="3">
        <v>0.11000000000000001</v>
      </c>
      <c r="O363" s="3">
        <v>0</v>
      </c>
      <c r="P363" s="56">
        <v>0.11000000000000001</v>
      </c>
      <c r="Q363" s="56">
        <v>0.11000000000000001</v>
      </c>
      <c r="R363" s="64" t="s">
        <v>874</v>
      </c>
      <c r="S363" s="68" t="s">
        <v>41</v>
      </c>
      <c r="T363" s="4" t="s">
        <v>42</v>
      </c>
      <c r="U363" s="1" t="s">
        <v>43</v>
      </c>
      <c r="V363" s="1" t="s">
        <v>24</v>
      </c>
      <c r="W363" s="25"/>
    </row>
    <row r="364" spans="1:23" ht="86.25" customHeight="1" thickBot="1" x14ac:dyDescent="0.3">
      <c r="A364" s="96" t="s">
        <v>56</v>
      </c>
      <c r="B364" s="26" t="s">
        <v>210</v>
      </c>
      <c r="C364" s="32">
        <v>1799</v>
      </c>
      <c r="D364" s="44" t="s">
        <v>860</v>
      </c>
      <c r="E364" s="27" t="s">
        <v>861</v>
      </c>
      <c r="F364" s="32" t="s">
        <v>31</v>
      </c>
      <c r="G364" s="44" t="s">
        <v>242</v>
      </c>
      <c r="H364" s="48" t="s">
        <v>39</v>
      </c>
      <c r="I364" s="44" t="s">
        <v>24</v>
      </c>
      <c r="J364" s="28" t="s">
        <v>11</v>
      </c>
      <c r="K364" s="48" t="s">
        <v>120</v>
      </c>
      <c r="L364" s="58"/>
      <c r="M364" s="30">
        <v>3.95E-2</v>
      </c>
      <c r="N364" s="30">
        <v>3.95E-2</v>
      </c>
      <c r="O364" s="30">
        <v>0</v>
      </c>
      <c r="P364" s="59">
        <v>3.95E-2</v>
      </c>
      <c r="Q364" s="59">
        <v>3.95E-2</v>
      </c>
      <c r="R364" s="65" t="s">
        <v>875</v>
      </c>
      <c r="S364" s="69" t="s">
        <v>41</v>
      </c>
      <c r="T364" s="31" t="s">
        <v>42</v>
      </c>
      <c r="U364" s="27" t="s">
        <v>43</v>
      </c>
      <c r="V364" s="27" t="s">
        <v>24</v>
      </c>
      <c r="W364" s="32"/>
    </row>
    <row r="365" spans="1:23" ht="57" customHeight="1" x14ac:dyDescent="0.25">
      <c r="A365" s="94" t="s">
        <v>56</v>
      </c>
      <c r="B365" s="18" t="s">
        <v>110</v>
      </c>
      <c r="C365" s="23">
        <v>1364</v>
      </c>
      <c r="D365" s="42" t="s">
        <v>745</v>
      </c>
      <c r="E365" s="19" t="s">
        <v>139</v>
      </c>
      <c r="F365" s="23" t="s">
        <v>26</v>
      </c>
      <c r="G365" s="42" t="s">
        <v>242</v>
      </c>
      <c r="H365" s="46" t="s">
        <v>39</v>
      </c>
      <c r="I365" s="42" t="s">
        <v>37</v>
      </c>
      <c r="J365" s="20" t="s">
        <v>38</v>
      </c>
      <c r="K365" s="46" t="s">
        <v>39</v>
      </c>
      <c r="L365" s="53"/>
      <c r="M365" s="21"/>
      <c r="N365" s="21"/>
      <c r="O365" s="21"/>
      <c r="P365" s="54"/>
      <c r="Q365" s="54"/>
      <c r="R365" s="63"/>
      <c r="S365" s="67" t="s">
        <v>41</v>
      </c>
      <c r="T365" s="22" t="s">
        <v>42</v>
      </c>
      <c r="U365" s="19" t="s">
        <v>43</v>
      </c>
      <c r="V365" s="19" t="s">
        <v>37</v>
      </c>
      <c r="W365" s="23"/>
    </row>
    <row r="366" spans="1:23" ht="57" customHeight="1" x14ac:dyDescent="0.25">
      <c r="A366" s="95" t="s">
        <v>56</v>
      </c>
      <c r="B366" s="24" t="s">
        <v>110</v>
      </c>
      <c r="C366" s="25">
        <v>1364</v>
      </c>
      <c r="D366" s="43" t="s">
        <v>878</v>
      </c>
      <c r="E366" s="1" t="s">
        <v>879</v>
      </c>
      <c r="F366" s="25" t="s">
        <v>26</v>
      </c>
      <c r="G366" s="43" t="s">
        <v>27</v>
      </c>
      <c r="H366" s="47" t="s">
        <v>39</v>
      </c>
      <c r="I366" s="43" t="s">
        <v>245</v>
      </c>
      <c r="J366" s="2" t="s">
        <v>38</v>
      </c>
      <c r="K366" s="47" t="s">
        <v>39</v>
      </c>
      <c r="L366" s="57"/>
      <c r="M366" s="5"/>
      <c r="N366" s="5"/>
      <c r="O366" s="5"/>
      <c r="P366" s="56"/>
      <c r="Q366" s="56"/>
      <c r="R366" s="64"/>
      <c r="S366" s="68" t="s">
        <v>41</v>
      </c>
      <c r="T366" s="4" t="s">
        <v>42</v>
      </c>
      <c r="U366" s="1" t="s">
        <v>43</v>
      </c>
      <c r="V366" s="1" t="s">
        <v>245</v>
      </c>
      <c r="W366" s="25"/>
    </row>
    <row r="367" spans="1:23" ht="57" customHeight="1" x14ac:dyDescent="0.25">
      <c r="A367" s="95" t="s">
        <v>56</v>
      </c>
      <c r="B367" s="24" t="s">
        <v>110</v>
      </c>
      <c r="C367" s="25">
        <v>1799</v>
      </c>
      <c r="D367" s="43" t="s">
        <v>250</v>
      </c>
      <c r="E367" s="1" t="s">
        <v>880</v>
      </c>
      <c r="F367" s="25" t="s">
        <v>22</v>
      </c>
      <c r="G367" s="43" t="s">
        <v>175</v>
      </c>
      <c r="H367" s="47" t="s">
        <v>36</v>
      </c>
      <c r="I367" s="43" t="s">
        <v>24</v>
      </c>
      <c r="J367" s="2" t="s">
        <v>11</v>
      </c>
      <c r="K367" s="47" t="s">
        <v>120</v>
      </c>
      <c r="L367" s="57"/>
      <c r="M367" s="3">
        <v>0.99199999999999999</v>
      </c>
      <c r="N367" s="3">
        <v>0.99199999999999999</v>
      </c>
      <c r="O367" s="3">
        <v>0</v>
      </c>
      <c r="P367" s="56">
        <v>0.99199999999999999</v>
      </c>
      <c r="Q367" s="56">
        <v>0.99199999999999999</v>
      </c>
      <c r="R367" s="64"/>
      <c r="S367" s="68" t="s">
        <v>41</v>
      </c>
      <c r="T367" s="4" t="s">
        <v>42</v>
      </c>
      <c r="U367" s="1" t="s">
        <v>43</v>
      </c>
      <c r="V367" s="1" t="s">
        <v>24</v>
      </c>
      <c r="W367" s="25"/>
    </row>
    <row r="368" spans="1:23" ht="57" customHeight="1" x14ac:dyDescent="0.25">
      <c r="A368" s="95" t="s">
        <v>56</v>
      </c>
      <c r="B368" s="24" t="s">
        <v>110</v>
      </c>
      <c r="C368" s="25">
        <v>1799</v>
      </c>
      <c r="D368" s="43" t="s">
        <v>250</v>
      </c>
      <c r="E368" s="1" t="s">
        <v>881</v>
      </c>
      <c r="F368" s="25" t="s">
        <v>22</v>
      </c>
      <c r="G368" s="43" t="s">
        <v>175</v>
      </c>
      <c r="H368" s="47" t="s">
        <v>36</v>
      </c>
      <c r="I368" s="43" t="s">
        <v>24</v>
      </c>
      <c r="J368" s="2" t="s">
        <v>11</v>
      </c>
      <c r="K368" s="47" t="s">
        <v>120</v>
      </c>
      <c r="L368" s="57"/>
      <c r="M368" s="3">
        <v>1.3425740001123594</v>
      </c>
      <c r="N368" s="3">
        <v>1.3425740001123594</v>
      </c>
      <c r="O368" s="3">
        <v>0</v>
      </c>
      <c r="P368" s="56">
        <v>1.3425740001123594</v>
      </c>
      <c r="Q368" s="56">
        <v>1.3425740001123594</v>
      </c>
      <c r="R368" s="64"/>
      <c r="S368" s="68" t="s">
        <v>41</v>
      </c>
      <c r="T368" s="4" t="s">
        <v>42</v>
      </c>
      <c r="U368" s="1" t="s">
        <v>43</v>
      </c>
      <c r="V368" s="1" t="s">
        <v>24</v>
      </c>
      <c r="W368" s="25"/>
    </row>
    <row r="369" spans="1:23" ht="57" customHeight="1" x14ac:dyDescent="0.25">
      <c r="A369" s="95" t="s">
        <v>56</v>
      </c>
      <c r="B369" s="24" t="s">
        <v>110</v>
      </c>
      <c r="C369" s="25">
        <v>1799</v>
      </c>
      <c r="D369" s="43" t="s">
        <v>882</v>
      </c>
      <c r="E369" s="1" t="s">
        <v>883</v>
      </c>
      <c r="F369" s="25" t="s">
        <v>26</v>
      </c>
      <c r="G369" s="43" t="s">
        <v>175</v>
      </c>
      <c r="H369" s="47" t="s">
        <v>36</v>
      </c>
      <c r="I369" s="43" t="s">
        <v>24</v>
      </c>
      <c r="J369" s="2" t="s">
        <v>11</v>
      </c>
      <c r="K369" s="47" t="s">
        <v>120</v>
      </c>
      <c r="L369" s="57"/>
      <c r="M369" s="3">
        <v>1.1837645569617974</v>
      </c>
      <c r="N369" s="3">
        <v>1.1837645569617974</v>
      </c>
      <c r="O369" s="3">
        <v>0</v>
      </c>
      <c r="P369" s="56">
        <v>1.1837645569617974</v>
      </c>
      <c r="Q369" s="56">
        <v>1.1837645569617974</v>
      </c>
      <c r="R369" s="64"/>
      <c r="S369" s="68" t="s">
        <v>41</v>
      </c>
      <c r="T369" s="4" t="s">
        <v>42</v>
      </c>
      <c r="U369" s="1" t="s">
        <v>43</v>
      </c>
      <c r="V369" s="1" t="s">
        <v>24</v>
      </c>
      <c r="W369" s="25"/>
    </row>
    <row r="370" spans="1:23" ht="57" customHeight="1" x14ac:dyDescent="0.25">
      <c r="A370" s="95" t="s">
        <v>56</v>
      </c>
      <c r="B370" s="24" t="s">
        <v>110</v>
      </c>
      <c r="C370" s="25">
        <v>1799</v>
      </c>
      <c r="D370" s="43" t="s">
        <v>311</v>
      </c>
      <c r="E370" s="1" t="s">
        <v>620</v>
      </c>
      <c r="F370" s="25" t="s">
        <v>22</v>
      </c>
      <c r="G370" s="43" t="s">
        <v>175</v>
      </c>
      <c r="H370" s="47" t="s">
        <v>36</v>
      </c>
      <c r="I370" s="43" t="s">
        <v>24</v>
      </c>
      <c r="J370" s="2" t="s">
        <v>11</v>
      </c>
      <c r="K370" s="47" t="s">
        <v>120</v>
      </c>
      <c r="L370" s="57"/>
      <c r="M370" s="3">
        <v>9.0823449438202239E-2</v>
      </c>
      <c r="N370" s="3">
        <v>9.0823449438202239E-2</v>
      </c>
      <c r="O370" s="3">
        <v>0</v>
      </c>
      <c r="P370" s="56">
        <v>9.0823449438202239E-2</v>
      </c>
      <c r="Q370" s="56">
        <v>9.0823449438202239E-2</v>
      </c>
      <c r="R370" s="64"/>
      <c r="S370" s="68" t="s">
        <v>41</v>
      </c>
      <c r="T370" s="4" t="s">
        <v>42</v>
      </c>
      <c r="U370" s="1" t="s">
        <v>43</v>
      </c>
      <c r="V370" s="1" t="s">
        <v>24</v>
      </c>
      <c r="W370" s="25"/>
    </row>
    <row r="371" spans="1:23" ht="42.75" customHeight="1" x14ac:dyDescent="0.25">
      <c r="A371" s="95" t="s">
        <v>56</v>
      </c>
      <c r="B371" s="24" t="s">
        <v>110</v>
      </c>
      <c r="C371" s="25">
        <v>1799</v>
      </c>
      <c r="D371" s="43" t="s">
        <v>884</v>
      </c>
      <c r="E371" s="1" t="s">
        <v>885</v>
      </c>
      <c r="F371" s="25" t="s">
        <v>26</v>
      </c>
      <c r="G371" s="43" t="s">
        <v>175</v>
      </c>
      <c r="H371" s="47" t="s">
        <v>36</v>
      </c>
      <c r="I371" s="43" t="s">
        <v>37</v>
      </c>
      <c r="J371" s="2" t="s">
        <v>38</v>
      </c>
      <c r="K371" s="47" t="s">
        <v>39</v>
      </c>
      <c r="L371" s="57"/>
      <c r="M371" s="5"/>
      <c r="N371" s="5"/>
      <c r="O371" s="5"/>
      <c r="P371" s="56"/>
      <c r="Q371" s="56">
        <v>1</v>
      </c>
      <c r="R371" s="64"/>
      <c r="S371" s="68" t="s">
        <v>41</v>
      </c>
      <c r="T371" s="4" t="s">
        <v>42</v>
      </c>
      <c r="U371" s="1" t="s">
        <v>43</v>
      </c>
      <c r="V371" s="1" t="s">
        <v>37</v>
      </c>
      <c r="W371" s="25"/>
    </row>
    <row r="372" spans="1:23" ht="132.75" customHeight="1" x14ac:dyDescent="0.25">
      <c r="A372" s="95" t="s">
        <v>56</v>
      </c>
      <c r="B372" s="24" t="s">
        <v>110</v>
      </c>
      <c r="C372" s="25">
        <v>1799</v>
      </c>
      <c r="D372" s="43" t="s">
        <v>268</v>
      </c>
      <c r="E372" s="1" t="s">
        <v>886</v>
      </c>
      <c r="F372" s="25" t="s">
        <v>26</v>
      </c>
      <c r="G372" s="43" t="s">
        <v>27</v>
      </c>
      <c r="H372" s="47" t="s">
        <v>39</v>
      </c>
      <c r="I372" s="43" t="s">
        <v>28</v>
      </c>
      <c r="J372" s="2" t="s">
        <v>38</v>
      </c>
      <c r="K372" s="47" t="s">
        <v>39</v>
      </c>
      <c r="L372" s="57"/>
      <c r="M372" s="5"/>
      <c r="N372" s="5"/>
      <c r="O372" s="5"/>
      <c r="P372" s="56"/>
      <c r="Q372" s="56"/>
      <c r="R372" s="64"/>
      <c r="S372" s="68" t="s">
        <v>41</v>
      </c>
      <c r="T372" s="4" t="s">
        <v>42</v>
      </c>
      <c r="U372" s="1" t="s">
        <v>43</v>
      </c>
      <c r="V372" s="1" t="s">
        <v>28</v>
      </c>
      <c r="W372" s="25"/>
    </row>
    <row r="373" spans="1:23" ht="57" customHeight="1" x14ac:dyDescent="0.25">
      <c r="A373" s="95" t="s">
        <v>56</v>
      </c>
      <c r="B373" s="24" t="s">
        <v>110</v>
      </c>
      <c r="C373" s="25">
        <v>1799</v>
      </c>
      <c r="D373" s="43" t="s">
        <v>887</v>
      </c>
      <c r="E373" s="1" t="s">
        <v>888</v>
      </c>
      <c r="F373" s="25" t="s">
        <v>26</v>
      </c>
      <c r="G373" s="43" t="s">
        <v>166</v>
      </c>
      <c r="H373" s="47" t="s">
        <v>39</v>
      </c>
      <c r="I373" s="43" t="s">
        <v>37</v>
      </c>
      <c r="J373" s="2" t="s">
        <v>38</v>
      </c>
      <c r="K373" s="47" t="s">
        <v>39</v>
      </c>
      <c r="L373" s="57"/>
      <c r="M373" s="5"/>
      <c r="N373" s="5"/>
      <c r="O373" s="5"/>
      <c r="P373" s="56"/>
      <c r="Q373" s="56"/>
      <c r="R373" s="64"/>
      <c r="S373" s="68" t="s">
        <v>41</v>
      </c>
      <c r="T373" s="4" t="s">
        <v>42</v>
      </c>
      <c r="U373" s="1" t="s">
        <v>43</v>
      </c>
      <c r="V373" s="1" t="s">
        <v>37</v>
      </c>
      <c r="W373" s="25"/>
    </row>
    <row r="374" spans="1:23" ht="57.75" customHeight="1" thickBot="1" x14ac:dyDescent="0.3">
      <c r="A374" s="96" t="s">
        <v>56</v>
      </c>
      <c r="B374" s="26" t="s">
        <v>110</v>
      </c>
      <c r="C374" s="32">
        <v>1799</v>
      </c>
      <c r="D374" s="44" t="s">
        <v>889</v>
      </c>
      <c r="E374" s="27" t="s">
        <v>890</v>
      </c>
      <c r="F374" s="32" t="s">
        <v>46</v>
      </c>
      <c r="G374" s="44" t="s">
        <v>891</v>
      </c>
      <c r="H374" s="48" t="s">
        <v>36</v>
      </c>
      <c r="I374" s="44" t="s">
        <v>51</v>
      </c>
      <c r="J374" s="28" t="s">
        <v>11</v>
      </c>
      <c r="K374" s="48" t="s">
        <v>49</v>
      </c>
      <c r="L374" s="58"/>
      <c r="M374" s="148">
        <v>4.4363590344427006</v>
      </c>
      <c r="N374" s="148">
        <v>4.4363590344427006</v>
      </c>
      <c r="O374" s="148">
        <v>4.4363590344427006</v>
      </c>
      <c r="P374" s="59">
        <v>4.4363590344427006</v>
      </c>
      <c r="Q374" s="59">
        <v>4.4363590344427006</v>
      </c>
      <c r="R374" s="65" t="s">
        <v>892</v>
      </c>
      <c r="S374" s="69" t="s">
        <v>41</v>
      </c>
      <c r="T374" s="31" t="s">
        <v>42</v>
      </c>
      <c r="U374" s="27" t="s">
        <v>43</v>
      </c>
      <c r="V374" s="27" t="s">
        <v>51</v>
      </c>
      <c r="W374" s="32"/>
    </row>
    <row r="375" spans="1:23" ht="93" customHeight="1" x14ac:dyDescent="0.25">
      <c r="A375" s="94" t="s">
        <v>56</v>
      </c>
      <c r="B375" s="18" t="s">
        <v>82</v>
      </c>
      <c r="C375" s="23">
        <v>1799</v>
      </c>
      <c r="D375" s="42" t="s">
        <v>526</v>
      </c>
      <c r="E375" s="19" t="s">
        <v>893</v>
      </c>
      <c r="F375" s="23" t="s">
        <v>22</v>
      </c>
      <c r="G375" s="42" t="s">
        <v>173</v>
      </c>
      <c r="H375" s="46" t="s">
        <v>36</v>
      </c>
      <c r="I375" s="150" t="s">
        <v>24</v>
      </c>
      <c r="J375" s="20" t="s">
        <v>11</v>
      </c>
      <c r="K375" s="46" t="s">
        <v>120</v>
      </c>
      <c r="L375" s="53"/>
      <c r="M375" s="98">
        <v>29.18388182</v>
      </c>
      <c r="N375" s="98">
        <v>29.18388182</v>
      </c>
      <c r="O375" s="98">
        <v>29.18388182</v>
      </c>
      <c r="P375" s="54" t="s">
        <v>894</v>
      </c>
      <c r="Q375" s="54" t="s">
        <v>894</v>
      </c>
      <c r="R375" s="63"/>
      <c r="S375" s="67" t="s">
        <v>41</v>
      </c>
      <c r="T375" s="22" t="s">
        <v>42</v>
      </c>
      <c r="U375" s="19" t="s">
        <v>43</v>
      </c>
      <c r="V375" s="19"/>
      <c r="W375" s="23"/>
    </row>
    <row r="376" spans="1:23" ht="71.25" customHeight="1" x14ac:dyDescent="0.25">
      <c r="A376" s="95" t="s">
        <v>56</v>
      </c>
      <c r="B376" s="24" t="s">
        <v>82</v>
      </c>
      <c r="C376" s="25">
        <v>1216</v>
      </c>
      <c r="D376" s="43" t="s">
        <v>895</v>
      </c>
      <c r="E376" s="1" t="s">
        <v>896</v>
      </c>
      <c r="F376" s="25" t="s">
        <v>26</v>
      </c>
      <c r="G376" s="43" t="s">
        <v>116</v>
      </c>
      <c r="H376" s="47" t="s">
        <v>119</v>
      </c>
      <c r="I376" s="149" t="s">
        <v>399</v>
      </c>
      <c r="J376" s="2" t="s">
        <v>10</v>
      </c>
      <c r="K376" s="47" t="s">
        <v>49</v>
      </c>
      <c r="L376" s="55">
        <v>0.44305725842696631</v>
      </c>
      <c r="M376" s="5"/>
      <c r="N376" s="5"/>
      <c r="O376" s="5"/>
      <c r="P376" s="56">
        <v>0.44305725842696631</v>
      </c>
      <c r="Q376" s="56">
        <v>0.44305725842696631</v>
      </c>
      <c r="R376" s="64" t="s">
        <v>897</v>
      </c>
      <c r="S376" s="68" t="s">
        <v>41</v>
      </c>
      <c r="T376" s="4" t="s">
        <v>42</v>
      </c>
      <c r="U376" s="1" t="s">
        <v>43</v>
      </c>
      <c r="V376" s="1"/>
      <c r="W376" s="25"/>
    </row>
    <row r="377" spans="1:23" ht="71.25" customHeight="1" x14ac:dyDescent="0.25">
      <c r="A377" s="95" t="s">
        <v>56</v>
      </c>
      <c r="B377" s="24" t="s">
        <v>82</v>
      </c>
      <c r="C377" s="25">
        <v>1216</v>
      </c>
      <c r="D377" s="43" t="s">
        <v>895</v>
      </c>
      <c r="E377" s="1" t="s">
        <v>896</v>
      </c>
      <c r="F377" s="25" t="s">
        <v>31</v>
      </c>
      <c r="G377" s="43" t="s">
        <v>116</v>
      </c>
      <c r="H377" s="47" t="s">
        <v>119</v>
      </c>
      <c r="I377" s="149" t="s">
        <v>399</v>
      </c>
      <c r="J377" s="2" t="s">
        <v>10</v>
      </c>
      <c r="K377" s="47" t="s">
        <v>49</v>
      </c>
      <c r="L377" s="55">
        <v>0.36250139325842701</v>
      </c>
      <c r="M377" s="5"/>
      <c r="N377" s="5"/>
      <c r="O377" s="5"/>
      <c r="P377" s="56">
        <v>0.36250139325842701</v>
      </c>
      <c r="Q377" s="56">
        <v>0.36250139325842701</v>
      </c>
      <c r="R377" s="64" t="s">
        <v>897</v>
      </c>
      <c r="S377" s="68" t="s">
        <v>41</v>
      </c>
      <c r="T377" s="4" t="s">
        <v>42</v>
      </c>
      <c r="U377" s="1" t="s">
        <v>43</v>
      </c>
      <c r="V377" s="1"/>
      <c r="W377" s="25"/>
    </row>
    <row r="378" spans="1:23" ht="85.5" customHeight="1" x14ac:dyDescent="0.25">
      <c r="A378" s="95" t="s">
        <v>56</v>
      </c>
      <c r="B378" s="24" t="s">
        <v>82</v>
      </c>
      <c r="C378" s="25">
        <v>1216</v>
      </c>
      <c r="D378" s="43" t="s">
        <v>898</v>
      </c>
      <c r="E378" s="1" t="s">
        <v>899</v>
      </c>
      <c r="F378" s="25" t="s">
        <v>26</v>
      </c>
      <c r="G378" s="43" t="s">
        <v>47</v>
      </c>
      <c r="H378" s="47" t="s">
        <v>36</v>
      </c>
      <c r="I378" s="149" t="s">
        <v>48</v>
      </c>
      <c r="J378" s="2" t="s">
        <v>10</v>
      </c>
      <c r="K378" s="47" t="s">
        <v>49</v>
      </c>
      <c r="L378" s="55">
        <v>4.2700207065992792</v>
      </c>
      <c r="M378" s="5"/>
      <c r="N378" s="5"/>
      <c r="O378" s="5"/>
      <c r="P378" s="56">
        <v>4.2700207065992792</v>
      </c>
      <c r="Q378" s="56">
        <v>4.2700207065992792</v>
      </c>
      <c r="R378" s="64" t="s">
        <v>900</v>
      </c>
      <c r="S378" s="68" t="s">
        <v>41</v>
      </c>
      <c r="T378" s="4" t="s">
        <v>42</v>
      </c>
      <c r="U378" s="1" t="s">
        <v>159</v>
      </c>
      <c r="V378" s="1"/>
      <c r="W378" s="25"/>
    </row>
    <row r="379" spans="1:23" ht="85.5" customHeight="1" x14ac:dyDescent="0.25">
      <c r="A379" s="95" t="s">
        <v>56</v>
      </c>
      <c r="B379" s="24" t="s">
        <v>82</v>
      </c>
      <c r="C379" s="25">
        <v>1216</v>
      </c>
      <c r="D379" s="43" t="s">
        <v>898</v>
      </c>
      <c r="E379" s="1" t="s">
        <v>899</v>
      </c>
      <c r="F379" s="25" t="s">
        <v>31</v>
      </c>
      <c r="G379" s="43" t="s">
        <v>47</v>
      </c>
      <c r="H379" s="47" t="s">
        <v>36</v>
      </c>
      <c r="I379" s="149" t="s">
        <v>48</v>
      </c>
      <c r="J379" s="2" t="s">
        <v>10</v>
      </c>
      <c r="K379" s="47" t="s">
        <v>49</v>
      </c>
      <c r="L379" s="55">
        <v>4.5677315076466014</v>
      </c>
      <c r="M379" s="5"/>
      <c r="N379" s="5"/>
      <c r="O379" s="5"/>
      <c r="P379" s="56">
        <v>4.5677315076466014</v>
      </c>
      <c r="Q379" s="56">
        <v>4.5677315076466014</v>
      </c>
      <c r="R379" s="64" t="s">
        <v>900</v>
      </c>
      <c r="S379" s="68" t="s">
        <v>41</v>
      </c>
      <c r="T379" s="4" t="s">
        <v>42</v>
      </c>
      <c r="U379" s="1" t="s">
        <v>159</v>
      </c>
      <c r="V379" s="1"/>
      <c r="W379" s="25"/>
    </row>
    <row r="380" spans="1:23" ht="85.5" customHeight="1" x14ac:dyDescent="0.25">
      <c r="A380" s="95" t="s">
        <v>56</v>
      </c>
      <c r="B380" s="24" t="s">
        <v>82</v>
      </c>
      <c r="C380" s="25">
        <v>1216</v>
      </c>
      <c r="D380" s="43" t="s">
        <v>901</v>
      </c>
      <c r="E380" s="1" t="s">
        <v>902</v>
      </c>
      <c r="F380" s="25" t="s">
        <v>26</v>
      </c>
      <c r="G380" s="43" t="s">
        <v>133</v>
      </c>
      <c r="H380" s="47" t="s">
        <v>36</v>
      </c>
      <c r="I380" s="149" t="s">
        <v>134</v>
      </c>
      <c r="J380" s="2" t="s">
        <v>10</v>
      </c>
      <c r="K380" s="47" t="s">
        <v>151</v>
      </c>
      <c r="L380" s="55">
        <v>2.6687172556978993</v>
      </c>
      <c r="M380" s="5"/>
      <c r="N380" s="5"/>
      <c r="O380" s="5"/>
      <c r="P380" s="56">
        <v>2.6687172556978993</v>
      </c>
      <c r="Q380" s="56">
        <v>2.6687172556978993</v>
      </c>
      <c r="R380" s="64" t="s">
        <v>903</v>
      </c>
      <c r="S380" s="68" t="s">
        <v>41</v>
      </c>
      <c r="T380" s="4" t="s">
        <v>42</v>
      </c>
      <c r="U380" s="1" t="s">
        <v>43</v>
      </c>
      <c r="V380" s="1"/>
      <c r="W380" s="25"/>
    </row>
    <row r="381" spans="1:23" ht="85.5" customHeight="1" x14ac:dyDescent="0.25">
      <c r="A381" s="95" t="s">
        <v>56</v>
      </c>
      <c r="B381" s="24" t="s">
        <v>82</v>
      </c>
      <c r="C381" s="25">
        <v>1216</v>
      </c>
      <c r="D381" s="43" t="s">
        <v>901</v>
      </c>
      <c r="E381" s="1" t="s">
        <v>902</v>
      </c>
      <c r="F381" s="25" t="s">
        <v>31</v>
      </c>
      <c r="G381" s="43" t="s">
        <v>133</v>
      </c>
      <c r="H381" s="47" t="s">
        <v>36</v>
      </c>
      <c r="I381" s="149" t="s">
        <v>134</v>
      </c>
      <c r="J381" s="2" t="s">
        <v>10</v>
      </c>
      <c r="K381" s="47" t="s">
        <v>151</v>
      </c>
      <c r="L381" s="55">
        <v>2.487837509513807</v>
      </c>
      <c r="M381" s="5"/>
      <c r="N381" s="5"/>
      <c r="O381" s="5"/>
      <c r="P381" s="56">
        <v>2.487837509513807</v>
      </c>
      <c r="Q381" s="56">
        <v>2.487837509513807</v>
      </c>
      <c r="R381" s="64" t="s">
        <v>903</v>
      </c>
      <c r="S381" s="68" t="s">
        <v>41</v>
      </c>
      <c r="T381" s="4" t="s">
        <v>42</v>
      </c>
      <c r="U381" s="1" t="s">
        <v>43</v>
      </c>
      <c r="V381" s="1"/>
      <c r="W381" s="25"/>
    </row>
    <row r="382" spans="1:23" ht="99.75" customHeight="1" x14ac:dyDescent="0.25">
      <c r="A382" s="95" t="s">
        <v>56</v>
      </c>
      <c r="B382" s="24" t="s">
        <v>82</v>
      </c>
      <c r="C382" s="25">
        <v>1216</v>
      </c>
      <c r="D382" s="43" t="s">
        <v>852</v>
      </c>
      <c r="E382" s="1" t="s">
        <v>904</v>
      </c>
      <c r="F382" s="25" t="s">
        <v>26</v>
      </c>
      <c r="G382" s="43" t="s">
        <v>383</v>
      </c>
      <c r="H382" s="47" t="s">
        <v>119</v>
      </c>
      <c r="I382" s="149" t="s">
        <v>199</v>
      </c>
      <c r="J382" s="2" t="s">
        <v>11</v>
      </c>
      <c r="K382" s="47" t="s">
        <v>151</v>
      </c>
      <c r="L382" s="57"/>
      <c r="M382" s="3">
        <v>0.3278588764044944</v>
      </c>
      <c r="N382" s="3">
        <v>0.32785887640449402</v>
      </c>
      <c r="O382" s="3">
        <v>0.32785887640449402</v>
      </c>
      <c r="P382" s="56">
        <v>0.3278588764044944</v>
      </c>
      <c r="Q382" s="56">
        <v>0.2</v>
      </c>
      <c r="R382" s="64" t="s">
        <v>853</v>
      </c>
      <c r="S382" s="68" t="s">
        <v>41</v>
      </c>
      <c r="T382" s="4" t="s">
        <v>42</v>
      </c>
      <c r="U382" s="1" t="s">
        <v>43</v>
      </c>
      <c r="V382" s="1"/>
      <c r="W382" s="25"/>
    </row>
    <row r="383" spans="1:23" ht="99.75" customHeight="1" x14ac:dyDescent="0.25">
      <c r="A383" s="95" t="s">
        <v>56</v>
      </c>
      <c r="B383" s="24" t="s">
        <v>82</v>
      </c>
      <c r="C383" s="25">
        <v>1216</v>
      </c>
      <c r="D383" s="43" t="s">
        <v>852</v>
      </c>
      <c r="E383" s="1" t="s">
        <v>904</v>
      </c>
      <c r="F383" s="25" t="s">
        <v>31</v>
      </c>
      <c r="G383" s="43" t="s">
        <v>383</v>
      </c>
      <c r="H383" s="47" t="s">
        <v>119</v>
      </c>
      <c r="I383" s="149" t="s">
        <v>199</v>
      </c>
      <c r="J383" s="2" t="s">
        <v>11</v>
      </c>
      <c r="K383" s="47" t="s">
        <v>151</v>
      </c>
      <c r="L383" s="57"/>
      <c r="M383" s="3">
        <v>8.7152359550561762E-2</v>
      </c>
      <c r="N383" s="3">
        <v>8.7152359550561803E-2</v>
      </c>
      <c r="O383" s="3">
        <v>8.7152359550561803E-2</v>
      </c>
      <c r="P383" s="56">
        <v>8.7152359550561762E-2</v>
      </c>
      <c r="Q383" s="56"/>
      <c r="R383" s="64" t="s">
        <v>853</v>
      </c>
      <c r="S383" s="68" t="s">
        <v>41</v>
      </c>
      <c r="T383" s="4" t="s">
        <v>42</v>
      </c>
      <c r="U383" s="1" t="s">
        <v>43</v>
      </c>
      <c r="V383" s="1"/>
      <c r="W383" s="25"/>
    </row>
    <row r="384" spans="1:23" ht="57" customHeight="1" x14ac:dyDescent="0.25">
      <c r="A384" s="95" t="s">
        <v>56</v>
      </c>
      <c r="B384" s="24" t="s">
        <v>82</v>
      </c>
      <c r="C384" s="25">
        <v>1216</v>
      </c>
      <c r="D384" s="43" t="s">
        <v>905</v>
      </c>
      <c r="E384" s="1" t="s">
        <v>906</v>
      </c>
      <c r="F384" s="25" t="s">
        <v>31</v>
      </c>
      <c r="G384" s="43" t="s">
        <v>625</v>
      </c>
      <c r="H384" s="47" t="s">
        <v>36</v>
      </c>
      <c r="I384" s="149" t="s">
        <v>24</v>
      </c>
      <c r="J384" s="2" t="s">
        <v>11</v>
      </c>
      <c r="K384" s="47" t="s">
        <v>120</v>
      </c>
      <c r="L384" s="57"/>
      <c r="M384" s="3">
        <v>2</v>
      </c>
      <c r="N384" s="3">
        <v>2</v>
      </c>
      <c r="O384" s="3">
        <v>2</v>
      </c>
      <c r="P384" s="56">
        <v>2</v>
      </c>
      <c r="Q384" s="56">
        <v>2</v>
      </c>
      <c r="R384" s="64" t="s">
        <v>907</v>
      </c>
      <c r="S384" s="68" t="s">
        <v>41</v>
      </c>
      <c r="T384" s="4" t="s">
        <v>42</v>
      </c>
      <c r="U384" s="1" t="s">
        <v>43</v>
      </c>
      <c r="V384" s="1"/>
      <c r="W384" s="25"/>
    </row>
    <row r="385" spans="1:23" ht="57" customHeight="1" x14ac:dyDescent="0.25">
      <c r="A385" s="95" t="s">
        <v>56</v>
      </c>
      <c r="B385" s="24" t="s">
        <v>82</v>
      </c>
      <c r="C385" s="25">
        <v>1216</v>
      </c>
      <c r="D385" s="43" t="s">
        <v>905</v>
      </c>
      <c r="E385" s="1" t="s">
        <v>906</v>
      </c>
      <c r="F385" s="25" t="s">
        <v>26</v>
      </c>
      <c r="G385" s="43" t="s">
        <v>625</v>
      </c>
      <c r="H385" s="47" t="s">
        <v>36</v>
      </c>
      <c r="I385" s="149" t="s">
        <v>24</v>
      </c>
      <c r="J385" s="2" t="s">
        <v>11</v>
      </c>
      <c r="K385" s="47" t="s">
        <v>120</v>
      </c>
      <c r="L385" s="57"/>
      <c r="M385" s="3">
        <v>0.04</v>
      </c>
      <c r="N385" s="3">
        <v>0.04</v>
      </c>
      <c r="O385" s="3">
        <v>0.04</v>
      </c>
      <c r="P385" s="56">
        <v>0.04</v>
      </c>
      <c r="Q385" s="56">
        <v>0.04</v>
      </c>
      <c r="R385" s="64" t="s">
        <v>907</v>
      </c>
      <c r="S385" s="68" t="s">
        <v>41</v>
      </c>
      <c r="T385" s="4" t="s">
        <v>42</v>
      </c>
      <c r="U385" s="1" t="s">
        <v>43</v>
      </c>
      <c r="V385" s="1"/>
      <c r="W385" s="25"/>
    </row>
    <row r="386" spans="1:23" ht="199.5" customHeight="1" x14ac:dyDescent="0.25">
      <c r="A386" s="95" t="s">
        <v>56</v>
      </c>
      <c r="B386" s="24" t="s">
        <v>82</v>
      </c>
      <c r="C386" s="25">
        <v>1216</v>
      </c>
      <c r="D386" s="43" t="s">
        <v>905</v>
      </c>
      <c r="E386" s="1" t="s">
        <v>906</v>
      </c>
      <c r="F386" s="25" t="s">
        <v>26</v>
      </c>
      <c r="G386" s="43" t="s">
        <v>496</v>
      </c>
      <c r="H386" s="47" t="s">
        <v>39</v>
      </c>
      <c r="I386" s="149" t="s">
        <v>28</v>
      </c>
      <c r="J386" s="2" t="s">
        <v>38</v>
      </c>
      <c r="K386" s="47" t="s">
        <v>39</v>
      </c>
      <c r="L386" s="57"/>
      <c r="M386" s="5"/>
      <c r="N386" s="5"/>
      <c r="O386" s="5"/>
      <c r="P386" s="56">
        <v>0.21123595505617979</v>
      </c>
      <c r="Q386" s="56">
        <v>0.21123595505617979</v>
      </c>
      <c r="R386" s="64" t="s">
        <v>908</v>
      </c>
      <c r="S386" s="68" t="s">
        <v>41</v>
      </c>
      <c r="T386" s="4" t="s">
        <v>42</v>
      </c>
      <c r="U386" s="1" t="s">
        <v>43</v>
      </c>
      <c r="V386" s="1"/>
      <c r="W386" s="25"/>
    </row>
    <row r="387" spans="1:23" ht="281.25" customHeight="1" x14ac:dyDescent="0.25">
      <c r="A387" s="95" t="s">
        <v>56</v>
      </c>
      <c r="B387" s="24" t="s">
        <v>82</v>
      </c>
      <c r="C387" s="25">
        <v>1216</v>
      </c>
      <c r="D387" s="43" t="s">
        <v>909</v>
      </c>
      <c r="E387" s="1" t="s">
        <v>910</v>
      </c>
      <c r="F387" s="25" t="s">
        <v>26</v>
      </c>
      <c r="G387" s="43" t="s">
        <v>27</v>
      </c>
      <c r="H387" s="47" t="s">
        <v>39</v>
      </c>
      <c r="I387" s="149" t="s">
        <v>28</v>
      </c>
      <c r="J387" s="2" t="s">
        <v>38</v>
      </c>
      <c r="K387" s="47" t="s">
        <v>39</v>
      </c>
      <c r="L387" s="57"/>
      <c r="M387" s="5"/>
      <c r="N387" s="5"/>
      <c r="O387" s="5"/>
      <c r="P387" s="56">
        <v>0.28202247191011237</v>
      </c>
      <c r="Q387" s="56">
        <v>0.28202247191011237</v>
      </c>
      <c r="R387" s="64" t="s">
        <v>908</v>
      </c>
      <c r="S387" s="68" t="s">
        <v>41</v>
      </c>
      <c r="T387" s="4" t="s">
        <v>42</v>
      </c>
      <c r="U387" s="1" t="s">
        <v>43</v>
      </c>
      <c r="V387" s="1"/>
      <c r="W387" s="25"/>
    </row>
    <row r="388" spans="1:23" ht="277.5" customHeight="1" x14ac:dyDescent="0.25">
      <c r="A388" s="95" t="s">
        <v>56</v>
      </c>
      <c r="B388" s="24" t="s">
        <v>82</v>
      </c>
      <c r="C388" s="25">
        <v>1216</v>
      </c>
      <c r="D388" s="43" t="s">
        <v>909</v>
      </c>
      <c r="E388" s="1" t="s">
        <v>910</v>
      </c>
      <c r="F388" s="25" t="s">
        <v>26</v>
      </c>
      <c r="G388" s="43" t="s">
        <v>564</v>
      </c>
      <c r="H388" s="47" t="s">
        <v>39</v>
      </c>
      <c r="I388" s="149" t="s">
        <v>28</v>
      </c>
      <c r="J388" s="2" t="s">
        <v>38</v>
      </c>
      <c r="K388" s="47" t="s">
        <v>39</v>
      </c>
      <c r="L388" s="57"/>
      <c r="M388" s="5"/>
      <c r="N388" s="5"/>
      <c r="O388" s="5"/>
      <c r="P388" s="56">
        <v>0.12921348314606743</v>
      </c>
      <c r="Q388" s="56">
        <v>0.12921348314606743</v>
      </c>
      <c r="R388" s="64" t="s">
        <v>908</v>
      </c>
      <c r="S388" s="68" t="s">
        <v>41</v>
      </c>
      <c r="T388" s="4" t="s">
        <v>42</v>
      </c>
      <c r="U388" s="1" t="s">
        <v>43</v>
      </c>
      <c r="V388" s="1"/>
      <c r="W388" s="25"/>
    </row>
    <row r="389" spans="1:23" ht="280.5" customHeight="1" x14ac:dyDescent="0.25">
      <c r="A389" s="95" t="s">
        <v>56</v>
      </c>
      <c r="B389" s="24" t="s">
        <v>82</v>
      </c>
      <c r="C389" s="25">
        <v>1216</v>
      </c>
      <c r="D389" s="43" t="s">
        <v>909</v>
      </c>
      <c r="E389" s="1" t="s">
        <v>910</v>
      </c>
      <c r="F389" s="25" t="s">
        <v>26</v>
      </c>
      <c r="G389" s="43" t="s">
        <v>238</v>
      </c>
      <c r="H389" s="47" t="s">
        <v>39</v>
      </c>
      <c r="I389" s="149" t="s">
        <v>28</v>
      </c>
      <c r="J389" s="2" t="s">
        <v>38</v>
      </c>
      <c r="K389" s="47" t="s">
        <v>39</v>
      </c>
      <c r="L389" s="57"/>
      <c r="M389" s="5"/>
      <c r="N389" s="5"/>
      <c r="O389" s="5"/>
      <c r="P389" s="56">
        <v>0.3820224719101124</v>
      </c>
      <c r="Q389" s="56">
        <v>0.3820224719101124</v>
      </c>
      <c r="R389" s="64" t="s">
        <v>911</v>
      </c>
      <c r="S389" s="68" t="s">
        <v>41</v>
      </c>
      <c r="T389" s="4" t="s">
        <v>42</v>
      </c>
      <c r="U389" s="1" t="s">
        <v>43</v>
      </c>
      <c r="V389" s="1"/>
      <c r="W389" s="25"/>
    </row>
    <row r="390" spans="1:23" ht="228" customHeight="1" x14ac:dyDescent="0.25">
      <c r="A390" s="95" t="s">
        <v>56</v>
      </c>
      <c r="B390" s="24" t="s">
        <v>82</v>
      </c>
      <c r="C390" s="25">
        <v>1216</v>
      </c>
      <c r="D390" s="43" t="s">
        <v>909</v>
      </c>
      <c r="E390" s="1" t="s">
        <v>910</v>
      </c>
      <c r="F390" s="25" t="s">
        <v>26</v>
      </c>
      <c r="G390" s="43" t="s">
        <v>166</v>
      </c>
      <c r="H390" s="47" t="s">
        <v>39</v>
      </c>
      <c r="I390" s="149" t="s">
        <v>28</v>
      </c>
      <c r="J390" s="2" t="s">
        <v>38</v>
      </c>
      <c r="K390" s="47" t="s">
        <v>39</v>
      </c>
      <c r="L390" s="57"/>
      <c r="M390" s="5"/>
      <c r="N390" s="5"/>
      <c r="O390" s="5"/>
      <c r="P390" s="56">
        <v>3.6168539325842692</v>
      </c>
      <c r="Q390" s="56">
        <v>3.6168539325842692</v>
      </c>
      <c r="R390" s="64" t="s">
        <v>908</v>
      </c>
      <c r="S390" s="68" t="s">
        <v>41</v>
      </c>
      <c r="T390" s="4" t="s">
        <v>42</v>
      </c>
      <c r="U390" s="1" t="s">
        <v>43</v>
      </c>
      <c r="V390" s="1"/>
      <c r="W390" s="25"/>
    </row>
    <row r="391" spans="1:23" ht="276" customHeight="1" x14ac:dyDescent="0.25">
      <c r="A391" s="95" t="s">
        <v>56</v>
      </c>
      <c r="B391" s="24" t="s">
        <v>82</v>
      </c>
      <c r="C391" s="25">
        <v>1216</v>
      </c>
      <c r="D391" s="43" t="s">
        <v>909</v>
      </c>
      <c r="E391" s="1" t="s">
        <v>910</v>
      </c>
      <c r="F391" s="25" t="s">
        <v>26</v>
      </c>
      <c r="G391" s="43" t="s">
        <v>356</v>
      </c>
      <c r="H391" s="47" t="s">
        <v>39</v>
      </c>
      <c r="I391" s="149" t="s">
        <v>28</v>
      </c>
      <c r="J391" s="2" t="s">
        <v>38</v>
      </c>
      <c r="K391" s="47" t="s">
        <v>39</v>
      </c>
      <c r="L391" s="57"/>
      <c r="M391" s="5"/>
      <c r="N391" s="5"/>
      <c r="O391" s="5"/>
      <c r="P391" s="56">
        <v>0.45168539325842699</v>
      </c>
      <c r="Q391" s="56">
        <v>0.45168539325842699</v>
      </c>
      <c r="R391" s="64" t="s">
        <v>912</v>
      </c>
      <c r="S391" s="68" t="s">
        <v>41</v>
      </c>
      <c r="T391" s="4" t="s">
        <v>42</v>
      </c>
      <c r="U391" s="1" t="s">
        <v>43</v>
      </c>
      <c r="V391" s="1"/>
      <c r="W391" s="25"/>
    </row>
    <row r="392" spans="1:23" ht="120" customHeight="1" x14ac:dyDescent="0.25">
      <c r="A392" s="95" t="s">
        <v>56</v>
      </c>
      <c r="B392" s="24" t="s">
        <v>82</v>
      </c>
      <c r="C392" s="25">
        <v>1799</v>
      </c>
      <c r="D392" s="43" t="s">
        <v>710</v>
      </c>
      <c r="E392" s="1" t="s">
        <v>913</v>
      </c>
      <c r="F392" s="25" t="s">
        <v>22</v>
      </c>
      <c r="G392" s="43" t="s">
        <v>23</v>
      </c>
      <c r="H392" s="47" t="s">
        <v>36</v>
      </c>
      <c r="I392" s="149" t="s">
        <v>24</v>
      </c>
      <c r="J392" s="2" t="s">
        <v>11</v>
      </c>
      <c r="K392" s="47" t="s">
        <v>120</v>
      </c>
      <c r="L392" s="57"/>
      <c r="M392" s="3">
        <v>0.29251100000000002</v>
      </c>
      <c r="N392" s="3">
        <v>0.29251100000000002</v>
      </c>
      <c r="O392" s="3">
        <v>0.29251100000000002</v>
      </c>
      <c r="P392" s="56" t="s">
        <v>894</v>
      </c>
      <c r="Q392" s="56" t="s">
        <v>894</v>
      </c>
      <c r="R392" s="64"/>
      <c r="S392" s="68" t="s">
        <v>41</v>
      </c>
      <c r="T392" s="4" t="s">
        <v>42</v>
      </c>
      <c r="U392" s="1" t="s">
        <v>43</v>
      </c>
      <c r="V392" s="1"/>
      <c r="W392" s="25"/>
    </row>
    <row r="393" spans="1:23" ht="71.25" customHeight="1" x14ac:dyDescent="0.25">
      <c r="A393" s="95" t="s">
        <v>56</v>
      </c>
      <c r="B393" s="24" t="s">
        <v>82</v>
      </c>
      <c r="C393" s="25">
        <v>1799</v>
      </c>
      <c r="D393" s="43" t="s">
        <v>526</v>
      </c>
      <c r="E393" s="1" t="s">
        <v>915</v>
      </c>
      <c r="F393" s="25" t="s">
        <v>22</v>
      </c>
      <c r="G393" s="43" t="s">
        <v>173</v>
      </c>
      <c r="H393" s="47" t="s">
        <v>36</v>
      </c>
      <c r="I393" s="149" t="s">
        <v>117</v>
      </c>
      <c r="J393" s="2" t="s">
        <v>10</v>
      </c>
      <c r="K393" s="47" t="s">
        <v>120</v>
      </c>
      <c r="L393" s="55">
        <v>2.5811712400000002</v>
      </c>
      <c r="M393" s="5"/>
      <c r="N393" s="5"/>
      <c r="O393" s="5"/>
      <c r="P393" s="56" t="s">
        <v>894</v>
      </c>
      <c r="Q393" s="56" t="s">
        <v>894</v>
      </c>
      <c r="R393" s="64"/>
      <c r="S393" s="68" t="s">
        <v>41</v>
      </c>
      <c r="T393" s="4" t="s">
        <v>42</v>
      </c>
      <c r="U393" s="1" t="s">
        <v>914</v>
      </c>
      <c r="V393" s="1"/>
      <c r="W393" s="25"/>
    </row>
    <row r="394" spans="1:23" ht="71.25" customHeight="1" x14ac:dyDescent="0.25">
      <c r="A394" s="95" t="s">
        <v>56</v>
      </c>
      <c r="B394" s="24" t="s">
        <v>82</v>
      </c>
      <c r="C394" s="25">
        <v>1799</v>
      </c>
      <c r="D394" s="43" t="s">
        <v>526</v>
      </c>
      <c r="E394" s="1" t="s">
        <v>915</v>
      </c>
      <c r="F394" s="25" t="s">
        <v>22</v>
      </c>
      <c r="G394" s="43" t="s">
        <v>175</v>
      </c>
      <c r="H394" s="47" t="s">
        <v>36</v>
      </c>
      <c r="I394" s="149" t="s">
        <v>24</v>
      </c>
      <c r="J394" s="2" t="s">
        <v>11</v>
      </c>
      <c r="K394" s="47" t="s">
        <v>120</v>
      </c>
      <c r="L394" s="57"/>
      <c r="M394" s="3">
        <v>9.9999999999999998E-13</v>
      </c>
      <c r="N394" s="3">
        <v>9.9999999999999998E-13</v>
      </c>
      <c r="O394" s="3">
        <v>9.9999999999999998E-13</v>
      </c>
      <c r="P394" s="56" t="s">
        <v>894</v>
      </c>
      <c r="Q394" s="56" t="s">
        <v>894</v>
      </c>
      <c r="R394" s="64"/>
      <c r="S394" s="68" t="s">
        <v>41</v>
      </c>
      <c r="T394" s="4" t="s">
        <v>42</v>
      </c>
      <c r="U394" s="1" t="s">
        <v>43</v>
      </c>
      <c r="V394" s="1"/>
      <c r="W394" s="25"/>
    </row>
    <row r="395" spans="1:23" ht="57" customHeight="1" x14ac:dyDescent="0.25">
      <c r="A395" s="95" t="s">
        <v>56</v>
      </c>
      <c r="B395" s="24" t="s">
        <v>82</v>
      </c>
      <c r="C395" s="25">
        <v>2156</v>
      </c>
      <c r="D395" s="43" t="s">
        <v>916</v>
      </c>
      <c r="E395" s="1" t="s">
        <v>917</v>
      </c>
      <c r="F395" s="25" t="s">
        <v>31</v>
      </c>
      <c r="G395" s="43" t="s">
        <v>155</v>
      </c>
      <c r="H395" s="47" t="s">
        <v>39</v>
      </c>
      <c r="I395" s="149" t="s">
        <v>24</v>
      </c>
      <c r="J395" s="2" t="s">
        <v>11</v>
      </c>
      <c r="K395" s="47" t="s">
        <v>120</v>
      </c>
      <c r="L395" s="57"/>
      <c r="M395" s="3">
        <v>0.78651685393258419</v>
      </c>
      <c r="N395" s="3">
        <v>0.78651685393258419</v>
      </c>
      <c r="O395" s="3">
        <v>0</v>
      </c>
      <c r="P395" s="56" t="s">
        <v>31</v>
      </c>
      <c r="Q395" s="56" t="s">
        <v>31</v>
      </c>
      <c r="R395" s="64"/>
      <c r="S395" s="68" t="s">
        <v>41</v>
      </c>
      <c r="T395" s="4" t="s">
        <v>42</v>
      </c>
      <c r="U395" s="1" t="s">
        <v>43</v>
      </c>
      <c r="V395" s="1"/>
      <c r="W395" s="25"/>
    </row>
    <row r="396" spans="1:23" ht="57" customHeight="1" x14ac:dyDescent="0.25">
      <c r="A396" s="95" t="s">
        <v>56</v>
      </c>
      <c r="B396" s="24" t="s">
        <v>82</v>
      </c>
      <c r="C396" s="25">
        <v>2156</v>
      </c>
      <c r="D396" s="43" t="s">
        <v>918</v>
      </c>
      <c r="E396" s="1" t="s">
        <v>919</v>
      </c>
      <c r="F396" s="25" t="s">
        <v>31</v>
      </c>
      <c r="G396" s="43" t="s">
        <v>155</v>
      </c>
      <c r="H396" s="47" t="s">
        <v>39</v>
      </c>
      <c r="I396" s="149" t="s">
        <v>24</v>
      </c>
      <c r="J396" s="2" t="s">
        <v>11</v>
      </c>
      <c r="K396" s="47" t="s">
        <v>120</v>
      </c>
      <c r="L396" s="57"/>
      <c r="M396" s="3">
        <v>0.6741573033707865</v>
      </c>
      <c r="N396" s="3">
        <v>0.6741573033707865</v>
      </c>
      <c r="O396" s="3">
        <v>0</v>
      </c>
      <c r="P396" s="56" t="s">
        <v>31</v>
      </c>
      <c r="Q396" s="56" t="s">
        <v>31</v>
      </c>
      <c r="R396" s="64"/>
      <c r="S396" s="68" t="s">
        <v>41</v>
      </c>
      <c r="T396" s="4" t="s">
        <v>42</v>
      </c>
      <c r="U396" s="1" t="s">
        <v>914</v>
      </c>
      <c r="V396" s="1"/>
      <c r="W396" s="25"/>
    </row>
    <row r="397" spans="1:23" ht="57" customHeight="1" x14ac:dyDescent="0.25">
      <c r="A397" s="95" t="s">
        <v>56</v>
      </c>
      <c r="B397" s="24" t="s">
        <v>82</v>
      </c>
      <c r="C397" s="25">
        <v>2156</v>
      </c>
      <c r="D397" s="43" t="s">
        <v>52</v>
      </c>
      <c r="E397" s="1" t="s">
        <v>920</v>
      </c>
      <c r="F397" s="25" t="s">
        <v>31</v>
      </c>
      <c r="G397" s="43" t="s">
        <v>155</v>
      </c>
      <c r="H397" s="47" t="s">
        <v>39</v>
      </c>
      <c r="I397" s="149" t="s">
        <v>30</v>
      </c>
      <c r="J397" s="2" t="s">
        <v>38</v>
      </c>
      <c r="K397" s="47" t="s">
        <v>39</v>
      </c>
      <c r="L397" s="57"/>
      <c r="M397" s="5"/>
      <c r="N397" s="5"/>
      <c r="O397" s="5"/>
      <c r="P397" s="56" t="s">
        <v>31</v>
      </c>
      <c r="Q397" s="56" t="s">
        <v>31</v>
      </c>
      <c r="R397" s="64"/>
      <c r="S397" s="68" t="s">
        <v>41</v>
      </c>
      <c r="T397" s="4" t="s">
        <v>42</v>
      </c>
      <c r="U397" s="1" t="s">
        <v>43</v>
      </c>
      <c r="V397" s="1"/>
      <c r="W397" s="25"/>
    </row>
    <row r="398" spans="1:23" ht="57" customHeight="1" x14ac:dyDescent="0.25">
      <c r="A398" s="95" t="s">
        <v>56</v>
      </c>
      <c r="B398" s="24" t="s">
        <v>82</v>
      </c>
      <c r="C398" s="25">
        <v>2156</v>
      </c>
      <c r="D398" s="43" t="s">
        <v>921</v>
      </c>
      <c r="E398" s="1" t="s">
        <v>922</v>
      </c>
      <c r="F398" s="25" t="s">
        <v>26</v>
      </c>
      <c r="G398" s="43" t="s">
        <v>183</v>
      </c>
      <c r="H398" s="47" t="s">
        <v>39</v>
      </c>
      <c r="I398" s="149" t="s">
        <v>30</v>
      </c>
      <c r="J398" s="2" t="s">
        <v>38</v>
      </c>
      <c r="K398" s="47" t="s">
        <v>39</v>
      </c>
      <c r="L398" s="57"/>
      <c r="M398" s="5"/>
      <c r="N398" s="5"/>
      <c r="O398" s="5"/>
      <c r="P398" s="56" t="s">
        <v>923</v>
      </c>
      <c r="Q398" s="56" t="s">
        <v>923</v>
      </c>
      <c r="R398" s="64"/>
      <c r="S398" s="68" t="s">
        <v>41</v>
      </c>
      <c r="T398" s="4" t="s">
        <v>42</v>
      </c>
      <c r="U398" s="1" t="s">
        <v>43</v>
      </c>
      <c r="V398" s="1"/>
      <c r="W398" s="25"/>
    </row>
    <row r="399" spans="1:23" ht="57" customHeight="1" x14ac:dyDescent="0.25">
      <c r="A399" s="95" t="s">
        <v>56</v>
      </c>
      <c r="B399" s="24" t="s">
        <v>82</v>
      </c>
      <c r="C399" s="25">
        <v>2156</v>
      </c>
      <c r="D399" s="43" t="s">
        <v>921</v>
      </c>
      <c r="E399" s="1" t="s">
        <v>924</v>
      </c>
      <c r="F399" s="25" t="s">
        <v>26</v>
      </c>
      <c r="G399" s="43" t="s">
        <v>27</v>
      </c>
      <c r="H399" s="47" t="s">
        <v>39</v>
      </c>
      <c r="I399" s="149" t="s">
        <v>28</v>
      </c>
      <c r="J399" s="2" t="s">
        <v>38</v>
      </c>
      <c r="K399" s="47" t="s">
        <v>39</v>
      </c>
      <c r="L399" s="57"/>
      <c r="M399" s="5"/>
      <c r="N399" s="5"/>
      <c r="O399" s="5"/>
      <c r="P399" s="56" t="s">
        <v>923</v>
      </c>
      <c r="Q399" s="56" t="s">
        <v>923</v>
      </c>
      <c r="R399" s="64"/>
      <c r="S399" s="68" t="s">
        <v>41</v>
      </c>
      <c r="T399" s="4" t="s">
        <v>42</v>
      </c>
      <c r="U399" s="1" t="s">
        <v>43</v>
      </c>
      <c r="V399" s="1"/>
      <c r="W399" s="25"/>
    </row>
    <row r="400" spans="1:23" ht="57" customHeight="1" x14ac:dyDescent="0.25">
      <c r="A400" s="95" t="s">
        <v>56</v>
      </c>
      <c r="B400" s="24" t="s">
        <v>82</v>
      </c>
      <c r="C400" s="25">
        <v>2156</v>
      </c>
      <c r="D400" s="43" t="s">
        <v>921</v>
      </c>
      <c r="E400" s="1" t="s">
        <v>924</v>
      </c>
      <c r="F400" s="25" t="s">
        <v>26</v>
      </c>
      <c r="G400" s="43" t="s">
        <v>29</v>
      </c>
      <c r="H400" s="47" t="s">
        <v>39</v>
      </c>
      <c r="I400" s="149" t="s">
        <v>28</v>
      </c>
      <c r="J400" s="2" t="s">
        <v>38</v>
      </c>
      <c r="K400" s="47" t="s">
        <v>39</v>
      </c>
      <c r="L400" s="57"/>
      <c r="M400" s="5"/>
      <c r="N400" s="5"/>
      <c r="O400" s="5"/>
      <c r="P400" s="56" t="s">
        <v>923</v>
      </c>
      <c r="Q400" s="56" t="s">
        <v>923</v>
      </c>
      <c r="R400" s="64"/>
      <c r="S400" s="68" t="s">
        <v>41</v>
      </c>
      <c r="T400" s="4" t="s">
        <v>42</v>
      </c>
      <c r="U400" s="1" t="s">
        <v>43</v>
      </c>
      <c r="V400" s="1"/>
      <c r="W400" s="25"/>
    </row>
    <row r="401" spans="1:23" ht="57" customHeight="1" x14ac:dyDescent="0.25">
      <c r="A401" s="95" t="s">
        <v>56</v>
      </c>
      <c r="B401" s="24" t="s">
        <v>82</v>
      </c>
      <c r="C401" s="25">
        <v>2156</v>
      </c>
      <c r="D401" s="43" t="s">
        <v>925</v>
      </c>
      <c r="E401" s="1" t="s">
        <v>926</v>
      </c>
      <c r="F401" s="25" t="s">
        <v>26</v>
      </c>
      <c r="G401" s="43" t="s">
        <v>496</v>
      </c>
      <c r="H401" s="47" t="s">
        <v>39</v>
      </c>
      <c r="I401" s="149" t="s">
        <v>28</v>
      </c>
      <c r="J401" s="2" t="s">
        <v>38</v>
      </c>
      <c r="K401" s="47" t="s">
        <v>39</v>
      </c>
      <c r="L401" s="57"/>
      <c r="M401" s="5"/>
      <c r="N401" s="5"/>
      <c r="O401" s="5"/>
      <c r="P401" s="56" t="s">
        <v>31</v>
      </c>
      <c r="Q401" s="56" t="s">
        <v>31</v>
      </c>
      <c r="R401" s="64"/>
      <c r="S401" s="68" t="s">
        <v>41</v>
      </c>
      <c r="T401" s="4" t="s">
        <v>42</v>
      </c>
      <c r="U401" s="1" t="s">
        <v>43</v>
      </c>
      <c r="V401" s="1"/>
      <c r="W401" s="25"/>
    </row>
    <row r="402" spans="1:23" ht="71.25" customHeight="1" x14ac:dyDescent="0.25">
      <c r="A402" s="95" t="s">
        <v>56</v>
      </c>
      <c r="B402" s="24" t="s">
        <v>82</v>
      </c>
      <c r="C402" s="25">
        <v>2156</v>
      </c>
      <c r="D402" s="43" t="s">
        <v>538</v>
      </c>
      <c r="E402" s="1" t="s">
        <v>927</v>
      </c>
      <c r="F402" s="25" t="s">
        <v>26</v>
      </c>
      <c r="G402" s="43" t="s">
        <v>238</v>
      </c>
      <c r="H402" s="47" t="s">
        <v>39</v>
      </c>
      <c r="I402" s="149" t="s">
        <v>28</v>
      </c>
      <c r="J402" s="2" t="s">
        <v>38</v>
      </c>
      <c r="K402" s="47" t="s">
        <v>39</v>
      </c>
      <c r="L402" s="57"/>
      <c r="M402" s="5"/>
      <c r="N402" s="5"/>
      <c r="O402" s="5"/>
      <c r="P402" s="56" t="s">
        <v>26</v>
      </c>
      <c r="Q402" s="56" t="s">
        <v>26</v>
      </c>
      <c r="R402" s="64"/>
      <c r="S402" s="68" t="s">
        <v>41</v>
      </c>
      <c r="T402" s="4" t="s">
        <v>42</v>
      </c>
      <c r="U402" s="1" t="s">
        <v>43</v>
      </c>
      <c r="V402" s="1"/>
      <c r="W402" s="25"/>
    </row>
    <row r="403" spans="1:23" ht="57" customHeight="1" x14ac:dyDescent="0.25">
      <c r="A403" s="95" t="s">
        <v>56</v>
      </c>
      <c r="B403" s="24" t="s">
        <v>82</v>
      </c>
      <c r="C403" s="25">
        <v>2156</v>
      </c>
      <c r="D403" s="43" t="s">
        <v>928</v>
      </c>
      <c r="E403" s="1" t="s">
        <v>929</v>
      </c>
      <c r="F403" s="25" t="s">
        <v>31</v>
      </c>
      <c r="G403" s="43" t="s">
        <v>242</v>
      </c>
      <c r="H403" s="47" t="s">
        <v>39</v>
      </c>
      <c r="I403" s="149" t="s">
        <v>24</v>
      </c>
      <c r="J403" s="2" t="s">
        <v>11</v>
      </c>
      <c r="K403" s="47" t="s">
        <v>120</v>
      </c>
      <c r="L403" s="57"/>
      <c r="M403" s="3">
        <v>2.2471910112359553E-3</v>
      </c>
      <c r="N403" s="3">
        <v>2.2471910112359553E-3</v>
      </c>
      <c r="O403" s="3">
        <v>0</v>
      </c>
      <c r="P403" s="56" t="s">
        <v>31</v>
      </c>
      <c r="Q403" s="56" t="s">
        <v>31</v>
      </c>
      <c r="R403" s="64"/>
      <c r="S403" s="68" t="s">
        <v>41</v>
      </c>
      <c r="T403" s="4" t="s">
        <v>42</v>
      </c>
      <c r="U403" s="1" t="s">
        <v>43</v>
      </c>
      <c r="V403" s="1"/>
      <c r="W403" s="25"/>
    </row>
    <row r="404" spans="1:23" ht="57.75" customHeight="1" thickBot="1" x14ac:dyDescent="0.3">
      <c r="A404" s="96" t="s">
        <v>56</v>
      </c>
      <c r="B404" s="26" t="s">
        <v>82</v>
      </c>
      <c r="C404" s="32">
        <v>2156</v>
      </c>
      <c r="D404" s="44" t="s">
        <v>928</v>
      </c>
      <c r="E404" s="27" t="s">
        <v>929</v>
      </c>
      <c r="F404" s="32" t="s">
        <v>26</v>
      </c>
      <c r="G404" s="44" t="s">
        <v>242</v>
      </c>
      <c r="H404" s="48" t="s">
        <v>39</v>
      </c>
      <c r="I404" s="151" t="s">
        <v>37</v>
      </c>
      <c r="J404" s="28" t="s">
        <v>38</v>
      </c>
      <c r="K404" s="48" t="s">
        <v>39</v>
      </c>
      <c r="L404" s="58"/>
      <c r="M404" s="29"/>
      <c r="N404" s="29"/>
      <c r="O404" s="29"/>
      <c r="P404" s="59" t="s">
        <v>26</v>
      </c>
      <c r="Q404" s="59" t="s">
        <v>26</v>
      </c>
      <c r="R404" s="65"/>
      <c r="S404" s="69" t="s">
        <v>41</v>
      </c>
      <c r="T404" s="31" t="s">
        <v>42</v>
      </c>
      <c r="U404" s="27" t="s">
        <v>43</v>
      </c>
      <c r="V404" s="27"/>
      <c r="W404" s="32"/>
    </row>
    <row r="405" spans="1:23" ht="42.75" customHeight="1" x14ac:dyDescent="0.25">
      <c r="A405" s="94" t="s">
        <v>56</v>
      </c>
      <c r="B405" s="18" t="s">
        <v>930</v>
      </c>
      <c r="C405" s="23" t="s">
        <v>931</v>
      </c>
      <c r="D405" s="42" t="s">
        <v>932</v>
      </c>
      <c r="E405" s="19" t="s">
        <v>933</v>
      </c>
      <c r="F405" s="23" t="s">
        <v>22</v>
      </c>
      <c r="G405" s="42" t="s">
        <v>23</v>
      </c>
      <c r="H405" s="46" t="s">
        <v>36</v>
      </c>
      <c r="I405" s="150" t="s">
        <v>24</v>
      </c>
      <c r="J405" s="20" t="s">
        <v>11</v>
      </c>
      <c r="K405" s="46" t="s">
        <v>120</v>
      </c>
      <c r="L405" s="53"/>
      <c r="M405" s="98">
        <v>0.40897268999999992</v>
      </c>
      <c r="N405" s="98">
        <v>0.40897268999999992</v>
      </c>
      <c r="O405" s="98">
        <v>0</v>
      </c>
      <c r="P405" s="54" t="s">
        <v>43</v>
      </c>
      <c r="Q405" s="54" t="s">
        <v>43</v>
      </c>
      <c r="R405" s="63"/>
      <c r="S405" s="67"/>
      <c r="T405" s="22" t="s">
        <v>249</v>
      </c>
      <c r="U405" s="19"/>
      <c r="V405" s="19"/>
      <c r="W405" s="23"/>
    </row>
    <row r="406" spans="1:23" ht="42.75" customHeight="1" x14ac:dyDescent="0.25">
      <c r="A406" s="95" t="s">
        <v>56</v>
      </c>
      <c r="B406" s="24" t="s">
        <v>930</v>
      </c>
      <c r="C406" s="25" t="s">
        <v>934</v>
      </c>
      <c r="D406" s="43" t="s">
        <v>932</v>
      </c>
      <c r="E406" s="1" t="s">
        <v>933</v>
      </c>
      <c r="F406" s="25" t="s">
        <v>22</v>
      </c>
      <c r="G406" s="43" t="s">
        <v>23</v>
      </c>
      <c r="H406" s="47" t="s">
        <v>36</v>
      </c>
      <c r="I406" s="149" t="s">
        <v>24</v>
      </c>
      <c r="J406" s="2" t="s">
        <v>11</v>
      </c>
      <c r="K406" s="47" t="s">
        <v>120</v>
      </c>
      <c r="L406" s="57"/>
      <c r="M406" s="3">
        <v>0.18416525000000003</v>
      </c>
      <c r="N406" s="3">
        <v>0.18416525000000003</v>
      </c>
      <c r="O406" s="3">
        <v>0</v>
      </c>
      <c r="P406" s="56" t="s">
        <v>43</v>
      </c>
      <c r="Q406" s="56" t="s">
        <v>43</v>
      </c>
      <c r="R406" s="64"/>
      <c r="S406" s="68"/>
      <c r="T406" s="4" t="s">
        <v>249</v>
      </c>
      <c r="U406" s="1"/>
      <c r="V406" s="1"/>
      <c r="W406" s="25"/>
    </row>
    <row r="407" spans="1:23" ht="42.75" customHeight="1" x14ac:dyDescent="0.25">
      <c r="A407" s="95" t="s">
        <v>56</v>
      </c>
      <c r="B407" s="24" t="s">
        <v>930</v>
      </c>
      <c r="C407" s="25" t="s">
        <v>931</v>
      </c>
      <c r="D407" s="43" t="s">
        <v>935</v>
      </c>
      <c r="E407" s="1" t="s">
        <v>933</v>
      </c>
      <c r="F407" s="25" t="s">
        <v>22</v>
      </c>
      <c r="G407" s="43" t="s">
        <v>175</v>
      </c>
      <c r="H407" s="47" t="s">
        <v>36</v>
      </c>
      <c r="I407" s="149" t="s">
        <v>24</v>
      </c>
      <c r="J407" s="2" t="s">
        <v>11</v>
      </c>
      <c r="K407" s="47" t="s">
        <v>120</v>
      </c>
      <c r="L407" s="57"/>
      <c r="M407" s="3">
        <v>1.3198333699999998</v>
      </c>
      <c r="N407" s="3">
        <v>1.3198333699999998</v>
      </c>
      <c r="O407" s="3">
        <v>0</v>
      </c>
      <c r="P407" s="56" t="s">
        <v>43</v>
      </c>
      <c r="Q407" s="56" t="s">
        <v>43</v>
      </c>
      <c r="R407" s="64"/>
      <c r="S407" s="68"/>
      <c r="T407" s="4" t="s">
        <v>249</v>
      </c>
      <c r="U407" s="1"/>
      <c r="V407" s="1"/>
      <c r="W407" s="25"/>
    </row>
    <row r="408" spans="1:23" ht="42.75" customHeight="1" x14ac:dyDescent="0.25">
      <c r="A408" s="95" t="s">
        <v>56</v>
      </c>
      <c r="B408" s="24" t="s">
        <v>930</v>
      </c>
      <c r="C408" s="25" t="s">
        <v>936</v>
      </c>
      <c r="D408" s="43" t="s">
        <v>935</v>
      </c>
      <c r="E408" s="1" t="s">
        <v>933</v>
      </c>
      <c r="F408" s="25" t="s">
        <v>22</v>
      </c>
      <c r="G408" s="43" t="s">
        <v>175</v>
      </c>
      <c r="H408" s="47" t="s">
        <v>36</v>
      </c>
      <c r="I408" s="149" t="s">
        <v>24</v>
      </c>
      <c r="J408" s="2" t="s">
        <v>11</v>
      </c>
      <c r="K408" s="47" t="s">
        <v>120</v>
      </c>
      <c r="L408" s="57"/>
      <c r="M408" s="3">
        <v>1.2473350000000001E-2</v>
      </c>
      <c r="N408" s="3">
        <v>1.2473350000000001E-2</v>
      </c>
      <c r="O408" s="3">
        <v>0</v>
      </c>
      <c r="P408" s="56" t="s">
        <v>43</v>
      </c>
      <c r="Q408" s="56" t="s">
        <v>43</v>
      </c>
      <c r="R408" s="64"/>
      <c r="S408" s="68"/>
      <c r="T408" s="4" t="s">
        <v>249</v>
      </c>
      <c r="U408" s="1"/>
      <c r="V408" s="1"/>
      <c r="W408" s="25"/>
    </row>
    <row r="409" spans="1:23" ht="42.75" customHeight="1" x14ac:dyDescent="0.25">
      <c r="A409" s="95" t="s">
        <v>56</v>
      </c>
      <c r="B409" s="24" t="s">
        <v>930</v>
      </c>
      <c r="C409" s="25" t="s">
        <v>937</v>
      </c>
      <c r="D409" s="43" t="s">
        <v>47</v>
      </c>
      <c r="E409" s="1" t="s">
        <v>938</v>
      </c>
      <c r="F409" s="25" t="s">
        <v>22</v>
      </c>
      <c r="G409" s="43" t="s">
        <v>47</v>
      </c>
      <c r="H409" s="47" t="s">
        <v>36</v>
      </c>
      <c r="I409" s="149" t="s">
        <v>117</v>
      </c>
      <c r="J409" s="2" t="s">
        <v>10</v>
      </c>
      <c r="K409" s="47" t="s">
        <v>120</v>
      </c>
      <c r="L409" s="55">
        <v>0.153</v>
      </c>
      <c r="M409" s="5"/>
      <c r="N409" s="5"/>
      <c r="O409" s="5"/>
      <c r="P409" s="56" t="s">
        <v>43</v>
      </c>
      <c r="Q409" s="56" t="s">
        <v>43</v>
      </c>
      <c r="R409" s="64"/>
      <c r="S409" s="68"/>
      <c r="T409" s="4" t="s">
        <v>249</v>
      </c>
      <c r="U409" s="1"/>
      <c r="V409" s="1"/>
      <c r="W409" s="25"/>
    </row>
    <row r="410" spans="1:23" ht="28.5" customHeight="1" x14ac:dyDescent="0.25">
      <c r="A410" s="95" t="s">
        <v>56</v>
      </c>
      <c r="B410" s="24" t="s">
        <v>930</v>
      </c>
      <c r="C410" s="25" t="s">
        <v>931</v>
      </c>
      <c r="D410" s="43" t="s">
        <v>47</v>
      </c>
      <c r="E410" s="1" t="s">
        <v>939</v>
      </c>
      <c r="F410" s="25" t="s">
        <v>22</v>
      </c>
      <c r="G410" s="43" t="s">
        <v>47</v>
      </c>
      <c r="H410" s="47" t="s">
        <v>36</v>
      </c>
      <c r="I410" s="149" t="s">
        <v>399</v>
      </c>
      <c r="J410" s="2" t="s">
        <v>10</v>
      </c>
      <c r="K410" s="47" t="s">
        <v>49</v>
      </c>
      <c r="L410" s="55">
        <v>0.66854567000000154</v>
      </c>
      <c r="M410" s="5"/>
      <c r="N410" s="5"/>
      <c r="O410" s="5"/>
      <c r="P410" s="56" t="s">
        <v>43</v>
      </c>
      <c r="Q410" s="56" t="s">
        <v>43</v>
      </c>
      <c r="R410" s="64"/>
      <c r="S410" s="68"/>
      <c r="T410" s="4" t="s">
        <v>249</v>
      </c>
      <c r="U410" s="1"/>
      <c r="V410" s="1"/>
      <c r="W410" s="25"/>
    </row>
    <row r="411" spans="1:23" ht="42.75" customHeight="1" x14ac:dyDescent="0.25">
      <c r="A411" s="95" t="s">
        <v>56</v>
      </c>
      <c r="B411" s="24" t="s">
        <v>930</v>
      </c>
      <c r="C411" s="25" t="s">
        <v>931</v>
      </c>
      <c r="D411" s="43" t="s">
        <v>940</v>
      </c>
      <c r="E411" s="1" t="s">
        <v>941</v>
      </c>
      <c r="F411" s="25" t="s">
        <v>22</v>
      </c>
      <c r="G411" s="43" t="s">
        <v>498</v>
      </c>
      <c r="H411" s="47" t="s">
        <v>36</v>
      </c>
      <c r="I411" s="149" t="s">
        <v>24</v>
      </c>
      <c r="J411" s="2" t="s">
        <v>11</v>
      </c>
      <c r="K411" s="47" t="s">
        <v>120</v>
      </c>
      <c r="L411" s="57"/>
      <c r="M411" s="3">
        <v>5.3716379999999994E-2</v>
      </c>
      <c r="N411" s="3">
        <v>0</v>
      </c>
      <c r="O411" s="3">
        <v>0</v>
      </c>
      <c r="P411" s="56" t="s">
        <v>43</v>
      </c>
      <c r="Q411" s="56" t="s">
        <v>43</v>
      </c>
      <c r="R411" s="64"/>
      <c r="S411" s="68"/>
      <c r="T411" s="4" t="s">
        <v>249</v>
      </c>
      <c r="U411" s="1"/>
      <c r="V411" s="1"/>
      <c r="W411" s="25"/>
    </row>
    <row r="412" spans="1:23" ht="42.75" customHeight="1" x14ac:dyDescent="0.25">
      <c r="A412" s="95" t="s">
        <v>56</v>
      </c>
      <c r="B412" s="24" t="s">
        <v>930</v>
      </c>
      <c r="C412" s="25">
        <v>1275</v>
      </c>
      <c r="D412" s="43" t="s">
        <v>935</v>
      </c>
      <c r="E412" s="1" t="s">
        <v>933</v>
      </c>
      <c r="F412" s="25" t="s">
        <v>22</v>
      </c>
      <c r="G412" s="43" t="s">
        <v>175</v>
      </c>
      <c r="H412" s="47" t="s">
        <v>36</v>
      </c>
      <c r="I412" s="149" t="s">
        <v>24</v>
      </c>
      <c r="J412" s="2" t="s">
        <v>11</v>
      </c>
      <c r="K412" s="47" t="s">
        <v>120</v>
      </c>
      <c r="L412" s="57"/>
      <c r="M412" s="3">
        <v>0.2</v>
      </c>
      <c r="N412" s="3">
        <v>0.2</v>
      </c>
      <c r="O412" s="3">
        <v>0</v>
      </c>
      <c r="P412" s="56" t="s">
        <v>43</v>
      </c>
      <c r="Q412" s="56" t="s">
        <v>43</v>
      </c>
      <c r="R412" s="64"/>
      <c r="S412" s="68"/>
      <c r="T412" s="4" t="s">
        <v>249</v>
      </c>
      <c r="U412" s="1"/>
      <c r="V412" s="1"/>
      <c r="W412" s="25"/>
    </row>
    <row r="413" spans="1:23" ht="42.75" customHeight="1" x14ac:dyDescent="0.25">
      <c r="A413" s="95" t="s">
        <v>56</v>
      </c>
      <c r="B413" s="24" t="s">
        <v>930</v>
      </c>
      <c r="C413" s="25">
        <v>1799</v>
      </c>
      <c r="D413" s="43" t="s">
        <v>942</v>
      </c>
      <c r="E413" s="1" t="s">
        <v>943</v>
      </c>
      <c r="F413" s="25" t="s">
        <v>186</v>
      </c>
      <c r="G413" s="43" t="s">
        <v>372</v>
      </c>
      <c r="H413" s="47" t="s">
        <v>36</v>
      </c>
      <c r="I413" s="149" t="s">
        <v>24</v>
      </c>
      <c r="J413" s="2" t="s">
        <v>11</v>
      </c>
      <c r="K413" s="47" t="s">
        <v>120</v>
      </c>
      <c r="L413" s="57"/>
      <c r="M413" s="3">
        <v>0.12454696000000001</v>
      </c>
      <c r="N413" s="3">
        <v>0.12454696000000001</v>
      </c>
      <c r="O413" s="3">
        <v>0</v>
      </c>
      <c r="P413" s="56" t="s">
        <v>43</v>
      </c>
      <c r="Q413" s="56" t="s">
        <v>43</v>
      </c>
      <c r="R413" s="64"/>
      <c r="S413" s="68"/>
      <c r="T413" s="4" t="s">
        <v>249</v>
      </c>
      <c r="U413" s="1"/>
      <c r="V413" s="1"/>
      <c r="W413" s="25"/>
    </row>
    <row r="414" spans="1:23" ht="42.75" customHeight="1" x14ac:dyDescent="0.25">
      <c r="A414" s="95" t="s">
        <v>56</v>
      </c>
      <c r="B414" s="24" t="s">
        <v>930</v>
      </c>
      <c r="C414" s="25">
        <v>1275</v>
      </c>
      <c r="D414" s="43" t="s">
        <v>944</v>
      </c>
      <c r="E414" s="1" t="s">
        <v>943</v>
      </c>
      <c r="F414" s="25" t="s">
        <v>186</v>
      </c>
      <c r="G414" s="43" t="s">
        <v>35</v>
      </c>
      <c r="H414" s="47" t="s">
        <v>36</v>
      </c>
      <c r="I414" s="149" t="s">
        <v>24</v>
      </c>
      <c r="J414" s="2" t="s">
        <v>11</v>
      </c>
      <c r="K414" s="47" t="s">
        <v>120</v>
      </c>
      <c r="L414" s="57"/>
      <c r="M414" s="3">
        <v>0.15728</v>
      </c>
      <c r="N414" s="3">
        <v>0.15728</v>
      </c>
      <c r="O414" s="3">
        <v>0</v>
      </c>
      <c r="P414" s="56" t="s">
        <v>43</v>
      </c>
      <c r="Q414" s="56" t="s">
        <v>43</v>
      </c>
      <c r="R414" s="64"/>
      <c r="S414" s="68"/>
      <c r="T414" s="4" t="s">
        <v>249</v>
      </c>
      <c r="U414" s="1"/>
      <c r="V414" s="1"/>
      <c r="W414" s="25"/>
    </row>
    <row r="415" spans="1:23" ht="57" customHeight="1" x14ac:dyDescent="0.25">
      <c r="A415" s="95" t="s">
        <v>56</v>
      </c>
      <c r="B415" s="24" t="s">
        <v>930</v>
      </c>
      <c r="C415" s="25">
        <v>1277</v>
      </c>
      <c r="D415" s="43" t="s">
        <v>226</v>
      </c>
      <c r="E415" s="1" t="s">
        <v>945</v>
      </c>
      <c r="F415" s="25" t="s">
        <v>26</v>
      </c>
      <c r="G415" s="43" t="s">
        <v>155</v>
      </c>
      <c r="H415" s="47" t="s">
        <v>39</v>
      </c>
      <c r="I415" s="149" t="s">
        <v>37</v>
      </c>
      <c r="J415" s="2" t="s">
        <v>38</v>
      </c>
      <c r="K415" s="47" t="s">
        <v>39</v>
      </c>
      <c r="L415" s="57"/>
      <c r="M415" s="5"/>
      <c r="N415" s="5"/>
      <c r="O415" s="5"/>
      <c r="P415" s="56" t="s">
        <v>43</v>
      </c>
      <c r="Q415" s="56" t="s">
        <v>43</v>
      </c>
      <c r="R415" s="64"/>
      <c r="S415" s="68"/>
      <c r="T415" s="4" t="s">
        <v>249</v>
      </c>
      <c r="U415" s="1"/>
      <c r="V415" s="1"/>
      <c r="W415" s="25"/>
    </row>
    <row r="416" spans="1:23" ht="57" customHeight="1" x14ac:dyDescent="0.25">
      <c r="A416" s="95" t="s">
        <v>56</v>
      </c>
      <c r="B416" s="24" t="s">
        <v>930</v>
      </c>
      <c r="C416" s="25">
        <v>1277</v>
      </c>
      <c r="D416" s="43" t="s">
        <v>946</v>
      </c>
      <c r="E416" s="1" t="s">
        <v>947</v>
      </c>
      <c r="F416" s="25" t="s">
        <v>26</v>
      </c>
      <c r="G416" s="43" t="s">
        <v>183</v>
      </c>
      <c r="H416" s="47" t="s">
        <v>39</v>
      </c>
      <c r="I416" s="149" t="s">
        <v>30</v>
      </c>
      <c r="J416" s="2" t="s">
        <v>38</v>
      </c>
      <c r="K416" s="47" t="s">
        <v>39</v>
      </c>
      <c r="L416" s="57"/>
      <c r="M416" s="5"/>
      <c r="N416" s="5"/>
      <c r="O416" s="5"/>
      <c r="P416" s="56" t="s">
        <v>43</v>
      </c>
      <c r="Q416" s="56" t="s">
        <v>43</v>
      </c>
      <c r="R416" s="64"/>
      <c r="S416" s="68"/>
      <c r="T416" s="4" t="s">
        <v>249</v>
      </c>
      <c r="U416" s="1"/>
      <c r="V416" s="1"/>
      <c r="W416" s="25"/>
    </row>
    <row r="417" spans="1:23" ht="57" customHeight="1" x14ac:dyDescent="0.25">
      <c r="A417" s="95" t="s">
        <v>56</v>
      </c>
      <c r="B417" s="24" t="s">
        <v>930</v>
      </c>
      <c r="C417" s="25">
        <v>1277</v>
      </c>
      <c r="D417" s="43" t="s">
        <v>948</v>
      </c>
      <c r="E417" s="1" t="s">
        <v>949</v>
      </c>
      <c r="F417" s="25" t="s">
        <v>26</v>
      </c>
      <c r="G417" s="43" t="s">
        <v>27</v>
      </c>
      <c r="H417" s="47" t="s">
        <v>39</v>
      </c>
      <c r="I417" s="149" t="s">
        <v>245</v>
      </c>
      <c r="J417" s="2" t="s">
        <v>38</v>
      </c>
      <c r="K417" s="47" t="s">
        <v>39</v>
      </c>
      <c r="L417" s="57"/>
      <c r="M417" s="5"/>
      <c r="N417" s="5"/>
      <c r="O417" s="5"/>
      <c r="P417" s="56" t="s">
        <v>43</v>
      </c>
      <c r="Q417" s="56" t="s">
        <v>43</v>
      </c>
      <c r="R417" s="64"/>
      <c r="S417" s="68"/>
      <c r="T417" s="4" t="s">
        <v>249</v>
      </c>
      <c r="U417" s="1"/>
      <c r="V417" s="1"/>
      <c r="W417" s="25"/>
    </row>
    <row r="418" spans="1:23" ht="57" customHeight="1" x14ac:dyDescent="0.25">
      <c r="A418" s="95" t="s">
        <v>56</v>
      </c>
      <c r="B418" s="24" t="s">
        <v>930</v>
      </c>
      <c r="C418" s="25">
        <v>1277</v>
      </c>
      <c r="D418" s="43" t="s">
        <v>224</v>
      </c>
      <c r="E418" s="1" t="s">
        <v>950</v>
      </c>
      <c r="F418" s="25" t="s">
        <v>26</v>
      </c>
      <c r="G418" s="43" t="s">
        <v>29</v>
      </c>
      <c r="H418" s="47" t="s">
        <v>39</v>
      </c>
      <c r="I418" s="149" t="s">
        <v>28</v>
      </c>
      <c r="J418" s="2" t="s">
        <v>38</v>
      </c>
      <c r="K418" s="47" t="s">
        <v>39</v>
      </c>
      <c r="L418" s="57"/>
      <c r="M418" s="5"/>
      <c r="N418" s="5"/>
      <c r="O418" s="5"/>
      <c r="P418" s="56" t="s">
        <v>43</v>
      </c>
      <c r="Q418" s="56" t="s">
        <v>43</v>
      </c>
      <c r="R418" s="64"/>
      <c r="S418" s="68"/>
      <c r="T418" s="4" t="s">
        <v>249</v>
      </c>
      <c r="U418" s="1"/>
      <c r="V418" s="1"/>
      <c r="W418" s="25"/>
    </row>
    <row r="419" spans="1:23" ht="57" customHeight="1" x14ac:dyDescent="0.25">
      <c r="A419" s="95" t="s">
        <v>56</v>
      </c>
      <c r="B419" s="24" t="s">
        <v>930</v>
      </c>
      <c r="C419" s="25">
        <v>1277</v>
      </c>
      <c r="D419" s="43" t="s">
        <v>951</v>
      </c>
      <c r="E419" s="1" t="s">
        <v>952</v>
      </c>
      <c r="F419" s="25" t="s">
        <v>26</v>
      </c>
      <c r="G419" s="43" t="s">
        <v>166</v>
      </c>
      <c r="H419" s="47" t="s">
        <v>39</v>
      </c>
      <c r="I419" s="152" t="s">
        <v>37</v>
      </c>
      <c r="J419" s="2" t="s">
        <v>38</v>
      </c>
      <c r="K419" s="47" t="s">
        <v>39</v>
      </c>
      <c r="L419" s="57"/>
      <c r="M419" s="5"/>
      <c r="N419" s="5"/>
      <c r="O419" s="5"/>
      <c r="P419" s="56" t="s">
        <v>43</v>
      </c>
      <c r="Q419" s="56" t="s">
        <v>43</v>
      </c>
      <c r="R419" s="64"/>
      <c r="S419" s="68"/>
      <c r="T419" s="4" t="s">
        <v>249</v>
      </c>
      <c r="U419" s="1"/>
      <c r="V419" s="1"/>
      <c r="W419" s="25"/>
    </row>
    <row r="420" spans="1:23" ht="57" customHeight="1" x14ac:dyDescent="0.25">
      <c r="A420" s="95" t="s">
        <v>56</v>
      </c>
      <c r="B420" s="24" t="s">
        <v>930</v>
      </c>
      <c r="C420" s="25">
        <v>1277</v>
      </c>
      <c r="D420" s="43" t="s">
        <v>953</v>
      </c>
      <c r="E420" s="1" t="s">
        <v>954</v>
      </c>
      <c r="F420" s="25" t="s">
        <v>26</v>
      </c>
      <c r="G420" s="43" t="s">
        <v>566</v>
      </c>
      <c r="H420" s="47" t="s">
        <v>39</v>
      </c>
      <c r="I420" s="149" t="s">
        <v>247</v>
      </c>
      <c r="J420" s="2" t="s">
        <v>38</v>
      </c>
      <c r="K420" s="47" t="s">
        <v>39</v>
      </c>
      <c r="L420" s="57"/>
      <c r="M420" s="5"/>
      <c r="N420" s="5"/>
      <c r="O420" s="5"/>
      <c r="P420" s="56" t="s">
        <v>43</v>
      </c>
      <c r="Q420" s="56" t="s">
        <v>43</v>
      </c>
      <c r="R420" s="64"/>
      <c r="S420" s="68"/>
      <c r="T420" s="4" t="s">
        <v>249</v>
      </c>
      <c r="U420" s="1"/>
      <c r="V420" s="1"/>
      <c r="W420" s="25"/>
    </row>
    <row r="421" spans="1:23" ht="57" customHeight="1" x14ac:dyDescent="0.25">
      <c r="A421" s="95" t="s">
        <v>56</v>
      </c>
      <c r="B421" s="24" t="s">
        <v>930</v>
      </c>
      <c r="C421" s="25" t="s">
        <v>937</v>
      </c>
      <c r="D421" s="43" t="s">
        <v>226</v>
      </c>
      <c r="E421" s="1" t="s">
        <v>955</v>
      </c>
      <c r="F421" s="25" t="s">
        <v>46</v>
      </c>
      <c r="G421" s="43" t="s">
        <v>155</v>
      </c>
      <c r="H421" s="47" t="s">
        <v>39</v>
      </c>
      <c r="I421" s="149" t="s">
        <v>51</v>
      </c>
      <c r="J421" s="2" t="s">
        <v>11</v>
      </c>
      <c r="K421" s="47" t="s">
        <v>49</v>
      </c>
      <c r="L421" s="57"/>
      <c r="M421" s="3">
        <v>0.21669498000000001</v>
      </c>
      <c r="N421" s="3">
        <v>0.21669498000000001</v>
      </c>
      <c r="O421" s="3">
        <v>0</v>
      </c>
      <c r="P421" s="56" t="s">
        <v>43</v>
      </c>
      <c r="Q421" s="56" t="s">
        <v>43</v>
      </c>
      <c r="R421" s="64"/>
      <c r="S421" s="68"/>
      <c r="T421" s="4" t="s">
        <v>249</v>
      </c>
      <c r="U421" s="1"/>
      <c r="V421" s="1"/>
      <c r="W421" s="25"/>
    </row>
    <row r="422" spans="1:23" ht="57" customHeight="1" x14ac:dyDescent="0.25">
      <c r="A422" s="95" t="s">
        <v>56</v>
      </c>
      <c r="B422" s="24" t="s">
        <v>930</v>
      </c>
      <c r="C422" s="25" t="s">
        <v>937</v>
      </c>
      <c r="D422" s="43" t="s">
        <v>951</v>
      </c>
      <c r="E422" s="1" t="s">
        <v>949</v>
      </c>
      <c r="F422" s="25" t="s">
        <v>26</v>
      </c>
      <c r="G422" s="43" t="s">
        <v>166</v>
      </c>
      <c r="H422" s="47" t="s">
        <v>39</v>
      </c>
      <c r="I422" s="149" t="s">
        <v>245</v>
      </c>
      <c r="J422" s="2" t="s">
        <v>38</v>
      </c>
      <c r="K422" s="47" t="s">
        <v>39</v>
      </c>
      <c r="L422" s="57"/>
      <c r="M422" s="5"/>
      <c r="N422" s="5"/>
      <c r="O422" s="5"/>
      <c r="P422" s="56" t="s">
        <v>43</v>
      </c>
      <c r="Q422" s="56" t="s">
        <v>43</v>
      </c>
      <c r="R422" s="64"/>
      <c r="S422" s="68"/>
      <c r="T422" s="4" t="s">
        <v>249</v>
      </c>
      <c r="U422" s="1"/>
      <c r="V422" s="1"/>
      <c r="W422" s="25"/>
    </row>
    <row r="423" spans="1:23" ht="57" customHeight="1" x14ac:dyDescent="0.25">
      <c r="A423" s="95" t="s">
        <v>56</v>
      </c>
      <c r="B423" s="24" t="s">
        <v>930</v>
      </c>
      <c r="C423" s="25" t="s">
        <v>931</v>
      </c>
      <c r="D423" s="43" t="s">
        <v>226</v>
      </c>
      <c r="E423" s="1" t="s">
        <v>945</v>
      </c>
      <c r="F423" s="25" t="s">
        <v>26</v>
      </c>
      <c r="G423" s="43" t="s">
        <v>155</v>
      </c>
      <c r="H423" s="47" t="s">
        <v>39</v>
      </c>
      <c r="I423" s="149" t="s">
        <v>37</v>
      </c>
      <c r="J423" s="2" t="s">
        <v>38</v>
      </c>
      <c r="K423" s="47" t="s">
        <v>39</v>
      </c>
      <c r="L423" s="57"/>
      <c r="M423" s="5"/>
      <c r="N423" s="5"/>
      <c r="O423" s="5"/>
      <c r="P423" s="56" t="s">
        <v>43</v>
      </c>
      <c r="Q423" s="56" t="s">
        <v>43</v>
      </c>
      <c r="R423" s="64"/>
      <c r="S423" s="68"/>
      <c r="T423" s="4" t="s">
        <v>249</v>
      </c>
      <c r="U423" s="1"/>
      <c r="V423" s="1"/>
      <c r="W423" s="25"/>
    </row>
    <row r="424" spans="1:23" ht="57" customHeight="1" x14ac:dyDescent="0.25">
      <c r="A424" s="95" t="s">
        <v>56</v>
      </c>
      <c r="B424" s="24" t="s">
        <v>930</v>
      </c>
      <c r="C424" s="25" t="s">
        <v>931</v>
      </c>
      <c r="D424" s="43" t="s">
        <v>946</v>
      </c>
      <c r="E424" s="1" t="s">
        <v>947</v>
      </c>
      <c r="F424" s="25" t="s">
        <v>26</v>
      </c>
      <c r="G424" s="43" t="s">
        <v>183</v>
      </c>
      <c r="H424" s="47" t="s">
        <v>39</v>
      </c>
      <c r="I424" s="149" t="s">
        <v>30</v>
      </c>
      <c r="J424" s="2" t="s">
        <v>38</v>
      </c>
      <c r="K424" s="47" t="s">
        <v>39</v>
      </c>
      <c r="L424" s="57"/>
      <c r="M424" s="5"/>
      <c r="N424" s="5"/>
      <c r="O424" s="5"/>
      <c r="P424" s="56" t="s">
        <v>43</v>
      </c>
      <c r="Q424" s="56" t="s">
        <v>43</v>
      </c>
      <c r="R424" s="64"/>
      <c r="S424" s="68"/>
      <c r="T424" s="4" t="s">
        <v>249</v>
      </c>
      <c r="U424" s="1"/>
      <c r="V424" s="1"/>
      <c r="W424" s="25"/>
    </row>
    <row r="425" spans="1:23" ht="57" customHeight="1" x14ac:dyDescent="0.25">
      <c r="A425" s="95" t="s">
        <v>56</v>
      </c>
      <c r="B425" s="24" t="s">
        <v>930</v>
      </c>
      <c r="C425" s="25" t="s">
        <v>931</v>
      </c>
      <c r="D425" s="43" t="s">
        <v>948</v>
      </c>
      <c r="E425" s="1" t="s">
        <v>949</v>
      </c>
      <c r="F425" s="25" t="s">
        <v>26</v>
      </c>
      <c r="G425" s="43" t="s">
        <v>27</v>
      </c>
      <c r="H425" s="47" t="s">
        <v>39</v>
      </c>
      <c r="I425" s="149" t="s">
        <v>245</v>
      </c>
      <c r="J425" s="2" t="s">
        <v>38</v>
      </c>
      <c r="K425" s="47" t="s">
        <v>39</v>
      </c>
      <c r="L425" s="57"/>
      <c r="M425" s="5"/>
      <c r="N425" s="5"/>
      <c r="O425" s="5"/>
      <c r="P425" s="56" t="s">
        <v>43</v>
      </c>
      <c r="Q425" s="56" t="s">
        <v>43</v>
      </c>
      <c r="R425" s="64"/>
      <c r="S425" s="68"/>
      <c r="T425" s="4" t="s">
        <v>249</v>
      </c>
      <c r="U425" s="1"/>
      <c r="V425" s="1"/>
      <c r="W425" s="25"/>
    </row>
    <row r="426" spans="1:23" ht="57" customHeight="1" x14ac:dyDescent="0.25">
      <c r="A426" s="95" t="s">
        <v>56</v>
      </c>
      <c r="B426" s="24" t="s">
        <v>930</v>
      </c>
      <c r="C426" s="25" t="s">
        <v>931</v>
      </c>
      <c r="D426" s="43" t="s">
        <v>224</v>
      </c>
      <c r="E426" s="1" t="s">
        <v>950</v>
      </c>
      <c r="F426" s="25" t="s">
        <v>26</v>
      </c>
      <c r="G426" s="43" t="s">
        <v>29</v>
      </c>
      <c r="H426" s="47" t="s">
        <v>39</v>
      </c>
      <c r="I426" s="149" t="s">
        <v>28</v>
      </c>
      <c r="J426" s="2" t="s">
        <v>38</v>
      </c>
      <c r="K426" s="47" t="s">
        <v>39</v>
      </c>
      <c r="L426" s="57"/>
      <c r="M426" s="5"/>
      <c r="N426" s="5"/>
      <c r="O426" s="5"/>
      <c r="P426" s="56" t="s">
        <v>43</v>
      </c>
      <c r="Q426" s="56" t="s">
        <v>43</v>
      </c>
      <c r="R426" s="64"/>
      <c r="S426" s="68"/>
      <c r="T426" s="4" t="s">
        <v>249</v>
      </c>
      <c r="U426" s="1"/>
      <c r="V426" s="1"/>
      <c r="W426" s="25"/>
    </row>
    <row r="427" spans="1:23" ht="57" customHeight="1" x14ac:dyDescent="0.25">
      <c r="A427" s="95" t="s">
        <v>56</v>
      </c>
      <c r="B427" s="24" t="s">
        <v>930</v>
      </c>
      <c r="C427" s="25" t="s">
        <v>931</v>
      </c>
      <c r="D427" s="43" t="s">
        <v>951</v>
      </c>
      <c r="E427" s="1" t="s">
        <v>949</v>
      </c>
      <c r="F427" s="25" t="s">
        <v>26</v>
      </c>
      <c r="G427" s="43" t="s">
        <v>166</v>
      </c>
      <c r="H427" s="47" t="s">
        <v>39</v>
      </c>
      <c r="I427" s="149" t="s">
        <v>245</v>
      </c>
      <c r="J427" s="2" t="s">
        <v>38</v>
      </c>
      <c r="K427" s="47" t="s">
        <v>39</v>
      </c>
      <c r="L427" s="57"/>
      <c r="M427" s="5"/>
      <c r="N427" s="5"/>
      <c r="O427" s="5"/>
      <c r="P427" s="56" t="s">
        <v>43</v>
      </c>
      <c r="Q427" s="56" t="s">
        <v>43</v>
      </c>
      <c r="R427" s="64"/>
      <c r="S427" s="68"/>
      <c r="T427" s="4" t="s">
        <v>249</v>
      </c>
      <c r="U427" s="1"/>
      <c r="V427" s="1"/>
      <c r="W427" s="25"/>
    </row>
    <row r="428" spans="1:23" ht="57" customHeight="1" x14ac:dyDescent="0.25">
      <c r="A428" s="95" t="s">
        <v>56</v>
      </c>
      <c r="B428" s="24" t="s">
        <v>930</v>
      </c>
      <c r="C428" s="25" t="s">
        <v>931</v>
      </c>
      <c r="D428" s="43" t="s">
        <v>953</v>
      </c>
      <c r="E428" s="1" t="s">
        <v>954</v>
      </c>
      <c r="F428" s="25" t="s">
        <v>26</v>
      </c>
      <c r="G428" s="43" t="s">
        <v>566</v>
      </c>
      <c r="H428" s="47" t="s">
        <v>39</v>
      </c>
      <c r="I428" s="149" t="s">
        <v>247</v>
      </c>
      <c r="J428" s="2" t="s">
        <v>38</v>
      </c>
      <c r="K428" s="47" t="s">
        <v>39</v>
      </c>
      <c r="L428" s="57"/>
      <c r="M428" s="5"/>
      <c r="N428" s="5"/>
      <c r="O428" s="5"/>
      <c r="P428" s="56" t="s">
        <v>43</v>
      </c>
      <c r="Q428" s="56" t="s">
        <v>43</v>
      </c>
      <c r="R428" s="64"/>
      <c r="S428" s="68"/>
      <c r="T428" s="4" t="s">
        <v>249</v>
      </c>
      <c r="U428" s="1"/>
      <c r="V428" s="1"/>
      <c r="W428" s="25"/>
    </row>
    <row r="429" spans="1:23" ht="42.75" customHeight="1" x14ac:dyDescent="0.25">
      <c r="A429" s="95" t="s">
        <v>56</v>
      </c>
      <c r="B429" s="24" t="s">
        <v>930</v>
      </c>
      <c r="C429" s="25" t="s">
        <v>931</v>
      </c>
      <c r="D429" s="43" t="s">
        <v>231</v>
      </c>
      <c r="E429" s="1" t="s">
        <v>956</v>
      </c>
      <c r="F429" s="25" t="s">
        <v>46</v>
      </c>
      <c r="G429" s="43" t="s">
        <v>233</v>
      </c>
      <c r="H429" s="47" t="s">
        <v>39</v>
      </c>
      <c r="I429" s="149" t="s">
        <v>51</v>
      </c>
      <c r="J429" s="2" t="s">
        <v>11</v>
      </c>
      <c r="K429" s="47" t="s">
        <v>49</v>
      </c>
      <c r="L429" s="57"/>
      <c r="M429" s="3">
        <v>1.4819609300000005</v>
      </c>
      <c r="N429" s="3">
        <v>1.4819609300000005</v>
      </c>
      <c r="O429" s="3">
        <v>0</v>
      </c>
      <c r="P429" s="56" t="s">
        <v>43</v>
      </c>
      <c r="Q429" s="56" t="s">
        <v>43</v>
      </c>
      <c r="R429" s="64"/>
      <c r="S429" s="68"/>
      <c r="T429" s="4" t="s">
        <v>249</v>
      </c>
      <c r="U429" s="1"/>
      <c r="V429" s="1"/>
      <c r="W429" s="25"/>
    </row>
    <row r="430" spans="1:23" ht="57" customHeight="1" x14ac:dyDescent="0.25">
      <c r="A430" s="95" t="s">
        <v>56</v>
      </c>
      <c r="B430" s="24" t="s">
        <v>930</v>
      </c>
      <c r="C430" s="25" t="s">
        <v>934</v>
      </c>
      <c r="D430" s="43" t="s">
        <v>226</v>
      </c>
      <c r="E430" s="1" t="s">
        <v>945</v>
      </c>
      <c r="F430" s="25" t="s">
        <v>26</v>
      </c>
      <c r="G430" s="43" t="s">
        <v>155</v>
      </c>
      <c r="H430" s="47" t="s">
        <v>39</v>
      </c>
      <c r="I430" s="149" t="s">
        <v>37</v>
      </c>
      <c r="J430" s="2" t="s">
        <v>38</v>
      </c>
      <c r="K430" s="47" t="s">
        <v>39</v>
      </c>
      <c r="L430" s="57"/>
      <c r="M430" s="5"/>
      <c r="N430" s="5"/>
      <c r="O430" s="5"/>
      <c r="P430" s="56" t="s">
        <v>43</v>
      </c>
      <c r="Q430" s="56" t="s">
        <v>43</v>
      </c>
      <c r="R430" s="64"/>
      <c r="S430" s="68"/>
      <c r="T430" s="4" t="s">
        <v>249</v>
      </c>
      <c r="U430" s="1"/>
      <c r="V430" s="1"/>
      <c r="W430" s="25"/>
    </row>
    <row r="431" spans="1:23" ht="57" customHeight="1" x14ac:dyDescent="0.25">
      <c r="A431" s="95" t="s">
        <v>56</v>
      </c>
      <c r="B431" s="24" t="s">
        <v>930</v>
      </c>
      <c r="C431" s="25" t="s">
        <v>934</v>
      </c>
      <c r="D431" s="43" t="s">
        <v>946</v>
      </c>
      <c r="E431" s="1" t="s">
        <v>947</v>
      </c>
      <c r="F431" s="25" t="s">
        <v>26</v>
      </c>
      <c r="G431" s="43" t="s">
        <v>183</v>
      </c>
      <c r="H431" s="47" t="s">
        <v>39</v>
      </c>
      <c r="I431" s="149" t="s">
        <v>30</v>
      </c>
      <c r="J431" s="2" t="s">
        <v>38</v>
      </c>
      <c r="K431" s="47" t="s">
        <v>39</v>
      </c>
      <c r="L431" s="57"/>
      <c r="M431" s="5"/>
      <c r="N431" s="5"/>
      <c r="O431" s="5"/>
      <c r="P431" s="56" t="s">
        <v>43</v>
      </c>
      <c r="Q431" s="56" t="s">
        <v>43</v>
      </c>
      <c r="R431" s="64"/>
      <c r="S431" s="68"/>
      <c r="T431" s="4" t="s">
        <v>249</v>
      </c>
      <c r="U431" s="1"/>
      <c r="V431" s="1"/>
      <c r="W431" s="25"/>
    </row>
    <row r="432" spans="1:23" ht="57" customHeight="1" x14ac:dyDescent="0.25">
      <c r="A432" s="95" t="s">
        <v>56</v>
      </c>
      <c r="B432" s="24" t="s">
        <v>930</v>
      </c>
      <c r="C432" s="25" t="s">
        <v>934</v>
      </c>
      <c r="D432" s="43" t="s">
        <v>948</v>
      </c>
      <c r="E432" s="1" t="s">
        <v>949</v>
      </c>
      <c r="F432" s="25" t="s">
        <v>26</v>
      </c>
      <c r="G432" s="43" t="s">
        <v>27</v>
      </c>
      <c r="H432" s="47" t="s">
        <v>39</v>
      </c>
      <c r="I432" s="149" t="s">
        <v>245</v>
      </c>
      <c r="J432" s="2" t="s">
        <v>38</v>
      </c>
      <c r="K432" s="47" t="s">
        <v>39</v>
      </c>
      <c r="L432" s="57"/>
      <c r="M432" s="5"/>
      <c r="N432" s="5"/>
      <c r="O432" s="5"/>
      <c r="P432" s="56" t="s">
        <v>43</v>
      </c>
      <c r="Q432" s="56" t="s">
        <v>43</v>
      </c>
      <c r="R432" s="64"/>
      <c r="S432" s="68"/>
      <c r="T432" s="4" t="s">
        <v>249</v>
      </c>
      <c r="U432" s="1"/>
      <c r="V432" s="1"/>
      <c r="W432" s="25"/>
    </row>
    <row r="433" spans="1:23" ht="57" customHeight="1" x14ac:dyDescent="0.25">
      <c r="A433" s="95" t="s">
        <v>56</v>
      </c>
      <c r="B433" s="24" t="s">
        <v>930</v>
      </c>
      <c r="C433" s="25" t="s">
        <v>934</v>
      </c>
      <c r="D433" s="43" t="s">
        <v>224</v>
      </c>
      <c r="E433" s="1" t="s">
        <v>950</v>
      </c>
      <c r="F433" s="25" t="s">
        <v>26</v>
      </c>
      <c r="G433" s="43" t="s">
        <v>29</v>
      </c>
      <c r="H433" s="47" t="s">
        <v>39</v>
      </c>
      <c r="I433" s="149" t="s">
        <v>28</v>
      </c>
      <c r="J433" s="2" t="s">
        <v>38</v>
      </c>
      <c r="K433" s="47" t="s">
        <v>39</v>
      </c>
      <c r="L433" s="57"/>
      <c r="M433" s="5"/>
      <c r="N433" s="5"/>
      <c r="O433" s="5"/>
      <c r="P433" s="56" t="s">
        <v>43</v>
      </c>
      <c r="Q433" s="56" t="s">
        <v>43</v>
      </c>
      <c r="R433" s="64"/>
      <c r="S433" s="68"/>
      <c r="T433" s="4" t="s">
        <v>249</v>
      </c>
      <c r="U433" s="1"/>
      <c r="V433" s="1"/>
      <c r="W433" s="25"/>
    </row>
    <row r="434" spans="1:23" ht="57" customHeight="1" x14ac:dyDescent="0.25">
      <c r="A434" s="95" t="s">
        <v>56</v>
      </c>
      <c r="B434" s="24" t="s">
        <v>930</v>
      </c>
      <c r="C434" s="25" t="s">
        <v>934</v>
      </c>
      <c r="D434" s="43" t="s">
        <v>951</v>
      </c>
      <c r="E434" s="1" t="s">
        <v>949</v>
      </c>
      <c r="F434" s="25" t="s">
        <v>26</v>
      </c>
      <c r="G434" s="43" t="s">
        <v>166</v>
      </c>
      <c r="H434" s="47" t="s">
        <v>39</v>
      </c>
      <c r="I434" s="149" t="s">
        <v>245</v>
      </c>
      <c r="J434" s="2" t="s">
        <v>38</v>
      </c>
      <c r="K434" s="47" t="s">
        <v>39</v>
      </c>
      <c r="L434" s="57"/>
      <c r="M434" s="5"/>
      <c r="N434" s="5"/>
      <c r="O434" s="5"/>
      <c r="P434" s="56" t="s">
        <v>43</v>
      </c>
      <c r="Q434" s="56" t="s">
        <v>43</v>
      </c>
      <c r="R434" s="64"/>
      <c r="S434" s="68"/>
      <c r="T434" s="4" t="s">
        <v>249</v>
      </c>
      <c r="U434" s="1"/>
      <c r="V434" s="1"/>
      <c r="W434" s="25"/>
    </row>
    <row r="435" spans="1:23" ht="57" customHeight="1" x14ac:dyDescent="0.25">
      <c r="A435" s="95" t="s">
        <v>56</v>
      </c>
      <c r="B435" s="24" t="s">
        <v>930</v>
      </c>
      <c r="C435" s="25" t="s">
        <v>936</v>
      </c>
      <c r="D435" s="43" t="s">
        <v>226</v>
      </c>
      <c r="E435" s="1" t="s">
        <v>933</v>
      </c>
      <c r="F435" s="25" t="s">
        <v>22</v>
      </c>
      <c r="G435" s="43" t="s">
        <v>155</v>
      </c>
      <c r="H435" s="47" t="s">
        <v>39</v>
      </c>
      <c r="I435" s="149" t="s">
        <v>24</v>
      </c>
      <c r="J435" s="2" t="s">
        <v>11</v>
      </c>
      <c r="K435" s="47" t="s">
        <v>120</v>
      </c>
      <c r="L435" s="57"/>
      <c r="M435" s="3">
        <v>1.2857109999999991E-2</v>
      </c>
      <c r="N435" s="3">
        <v>1.2857109999999991E-2</v>
      </c>
      <c r="O435" s="3">
        <v>0</v>
      </c>
      <c r="P435" s="56" t="s">
        <v>43</v>
      </c>
      <c r="Q435" s="56" t="s">
        <v>43</v>
      </c>
      <c r="R435" s="64"/>
      <c r="S435" s="68"/>
      <c r="T435" s="4" t="s">
        <v>249</v>
      </c>
      <c r="U435" s="1"/>
      <c r="V435" s="1"/>
      <c r="W435" s="25"/>
    </row>
    <row r="436" spans="1:23" ht="57" customHeight="1" x14ac:dyDescent="0.25">
      <c r="A436" s="95" t="s">
        <v>56</v>
      </c>
      <c r="B436" s="24" t="s">
        <v>930</v>
      </c>
      <c r="C436" s="25" t="s">
        <v>936</v>
      </c>
      <c r="D436" s="43" t="s">
        <v>948</v>
      </c>
      <c r="E436" s="1" t="s">
        <v>949</v>
      </c>
      <c r="F436" s="25" t="s">
        <v>26</v>
      </c>
      <c r="G436" s="43" t="s">
        <v>27</v>
      </c>
      <c r="H436" s="47" t="s">
        <v>39</v>
      </c>
      <c r="I436" s="149" t="s">
        <v>245</v>
      </c>
      <c r="J436" s="2" t="s">
        <v>38</v>
      </c>
      <c r="K436" s="47" t="s">
        <v>39</v>
      </c>
      <c r="L436" s="57"/>
      <c r="M436" s="5"/>
      <c r="N436" s="5"/>
      <c r="O436" s="5"/>
      <c r="P436" s="56" t="s">
        <v>43</v>
      </c>
      <c r="Q436" s="56" t="s">
        <v>43</v>
      </c>
      <c r="R436" s="64"/>
      <c r="S436" s="68"/>
      <c r="T436" s="4" t="s">
        <v>249</v>
      </c>
      <c r="U436" s="1"/>
      <c r="V436" s="1"/>
      <c r="W436" s="25"/>
    </row>
    <row r="437" spans="1:23" ht="57" customHeight="1" x14ac:dyDescent="0.25">
      <c r="A437" s="95" t="s">
        <v>56</v>
      </c>
      <c r="B437" s="24" t="s">
        <v>930</v>
      </c>
      <c r="C437" s="25" t="s">
        <v>936</v>
      </c>
      <c r="D437" s="43" t="s">
        <v>224</v>
      </c>
      <c r="E437" s="1" t="s">
        <v>950</v>
      </c>
      <c r="F437" s="25" t="s">
        <v>26</v>
      </c>
      <c r="G437" s="43" t="s">
        <v>29</v>
      </c>
      <c r="H437" s="47" t="s">
        <v>39</v>
      </c>
      <c r="I437" s="149" t="s">
        <v>28</v>
      </c>
      <c r="J437" s="2" t="s">
        <v>38</v>
      </c>
      <c r="K437" s="47" t="s">
        <v>39</v>
      </c>
      <c r="L437" s="57"/>
      <c r="M437" s="5"/>
      <c r="N437" s="5"/>
      <c r="O437" s="5"/>
      <c r="P437" s="56" t="s">
        <v>43</v>
      </c>
      <c r="Q437" s="56" t="s">
        <v>43</v>
      </c>
      <c r="R437" s="64"/>
      <c r="S437" s="68"/>
      <c r="T437" s="4" t="s">
        <v>249</v>
      </c>
      <c r="U437" s="1"/>
      <c r="V437" s="1"/>
      <c r="W437" s="25"/>
    </row>
    <row r="438" spans="1:23" ht="57" customHeight="1" x14ac:dyDescent="0.25">
      <c r="A438" s="95" t="s">
        <v>56</v>
      </c>
      <c r="B438" s="24" t="s">
        <v>930</v>
      </c>
      <c r="C438" s="25" t="s">
        <v>936</v>
      </c>
      <c r="D438" s="43" t="s">
        <v>951</v>
      </c>
      <c r="E438" s="1" t="s">
        <v>949</v>
      </c>
      <c r="F438" s="25" t="s">
        <v>26</v>
      </c>
      <c r="G438" s="43" t="s">
        <v>166</v>
      </c>
      <c r="H438" s="47" t="s">
        <v>39</v>
      </c>
      <c r="I438" s="149" t="s">
        <v>245</v>
      </c>
      <c r="J438" s="2" t="s">
        <v>38</v>
      </c>
      <c r="K438" s="47" t="s">
        <v>39</v>
      </c>
      <c r="L438" s="57"/>
      <c r="M438" s="5"/>
      <c r="N438" s="5"/>
      <c r="O438" s="5"/>
      <c r="P438" s="56" t="s">
        <v>43</v>
      </c>
      <c r="Q438" s="56" t="s">
        <v>43</v>
      </c>
      <c r="R438" s="64"/>
      <c r="S438" s="68"/>
      <c r="T438" s="4" t="s">
        <v>249</v>
      </c>
      <c r="U438" s="1"/>
      <c r="V438" s="1"/>
      <c r="W438" s="25"/>
    </row>
    <row r="439" spans="1:23" ht="57" customHeight="1" x14ac:dyDescent="0.25">
      <c r="A439" s="95" t="s">
        <v>56</v>
      </c>
      <c r="B439" s="24" t="s">
        <v>930</v>
      </c>
      <c r="C439" s="25" t="s">
        <v>936</v>
      </c>
      <c r="D439" s="43" t="s">
        <v>228</v>
      </c>
      <c r="E439" s="1" t="s">
        <v>957</v>
      </c>
      <c r="F439" s="25" t="s">
        <v>46</v>
      </c>
      <c r="G439" s="43" t="s">
        <v>230</v>
      </c>
      <c r="H439" s="47" t="s">
        <v>39</v>
      </c>
      <c r="I439" s="152" t="s">
        <v>192</v>
      </c>
      <c r="J439" s="2" t="s">
        <v>11</v>
      </c>
      <c r="K439" s="47" t="s">
        <v>151</v>
      </c>
      <c r="L439" s="57"/>
      <c r="M439" s="3">
        <v>6.6942999999999994E-3</v>
      </c>
      <c r="N439" s="3">
        <v>6.6942999999999994E-3</v>
      </c>
      <c r="O439" s="3">
        <v>0</v>
      </c>
      <c r="P439" s="56" t="s">
        <v>43</v>
      </c>
      <c r="Q439" s="56" t="s">
        <v>43</v>
      </c>
      <c r="R439" s="64"/>
      <c r="S439" s="68"/>
      <c r="T439" s="4" t="s">
        <v>249</v>
      </c>
      <c r="U439" s="1"/>
      <c r="V439" s="1"/>
      <c r="W439" s="25"/>
    </row>
    <row r="440" spans="1:23" ht="42.75" customHeight="1" x14ac:dyDescent="0.25">
      <c r="A440" s="95" t="s">
        <v>56</v>
      </c>
      <c r="B440" s="24" t="s">
        <v>930</v>
      </c>
      <c r="C440" s="25" t="s">
        <v>936</v>
      </c>
      <c r="D440" s="43" t="s">
        <v>231</v>
      </c>
      <c r="E440" s="1" t="s">
        <v>956</v>
      </c>
      <c r="F440" s="25" t="s">
        <v>46</v>
      </c>
      <c r="G440" s="43" t="s">
        <v>233</v>
      </c>
      <c r="H440" s="47" t="s">
        <v>39</v>
      </c>
      <c r="I440" s="149" t="s">
        <v>51</v>
      </c>
      <c r="J440" s="2" t="s">
        <v>11</v>
      </c>
      <c r="K440" s="47" t="s">
        <v>49</v>
      </c>
      <c r="L440" s="57"/>
      <c r="M440" s="3">
        <v>1.029134E-2</v>
      </c>
      <c r="N440" s="3">
        <v>1.029134E-2</v>
      </c>
      <c r="O440" s="3">
        <v>0</v>
      </c>
      <c r="P440" s="56" t="s">
        <v>43</v>
      </c>
      <c r="Q440" s="56" t="s">
        <v>43</v>
      </c>
      <c r="R440" s="64"/>
      <c r="S440" s="68"/>
      <c r="T440" s="4" t="s">
        <v>249</v>
      </c>
      <c r="U440" s="1"/>
      <c r="V440" s="1"/>
      <c r="W440" s="25"/>
    </row>
    <row r="441" spans="1:23" ht="57" customHeight="1" x14ac:dyDescent="0.25">
      <c r="A441" s="95" t="s">
        <v>56</v>
      </c>
      <c r="B441" s="24" t="s">
        <v>930</v>
      </c>
      <c r="C441" s="25" t="s">
        <v>937</v>
      </c>
      <c r="D441" s="43" t="s">
        <v>226</v>
      </c>
      <c r="E441" s="1" t="s">
        <v>945</v>
      </c>
      <c r="F441" s="25" t="s">
        <v>26</v>
      </c>
      <c r="G441" s="43" t="s">
        <v>155</v>
      </c>
      <c r="H441" s="47" t="s">
        <v>39</v>
      </c>
      <c r="I441" s="149" t="s">
        <v>37</v>
      </c>
      <c r="J441" s="2" t="s">
        <v>38</v>
      </c>
      <c r="K441" s="47" t="s">
        <v>39</v>
      </c>
      <c r="L441" s="57"/>
      <c r="M441" s="5"/>
      <c r="N441" s="5"/>
      <c r="O441" s="5"/>
      <c r="P441" s="56" t="s">
        <v>43</v>
      </c>
      <c r="Q441" s="56" t="s">
        <v>43</v>
      </c>
      <c r="R441" s="64"/>
      <c r="S441" s="68"/>
      <c r="T441" s="4" t="s">
        <v>249</v>
      </c>
      <c r="U441" s="1"/>
      <c r="V441" s="1"/>
      <c r="W441" s="25"/>
    </row>
    <row r="442" spans="1:23" ht="57" customHeight="1" x14ac:dyDescent="0.25">
      <c r="A442" s="95" t="s">
        <v>56</v>
      </c>
      <c r="B442" s="24" t="s">
        <v>930</v>
      </c>
      <c r="C442" s="25">
        <v>1277</v>
      </c>
      <c r="D442" s="43" t="s">
        <v>951</v>
      </c>
      <c r="E442" s="1" t="s">
        <v>949</v>
      </c>
      <c r="F442" s="25" t="s">
        <v>26</v>
      </c>
      <c r="G442" s="43" t="s">
        <v>166</v>
      </c>
      <c r="H442" s="47" t="s">
        <v>39</v>
      </c>
      <c r="I442" s="149" t="s">
        <v>245</v>
      </c>
      <c r="J442" s="2" t="s">
        <v>38</v>
      </c>
      <c r="K442" s="47" t="s">
        <v>39</v>
      </c>
      <c r="L442" s="57"/>
      <c r="M442" s="5"/>
      <c r="N442" s="5"/>
      <c r="O442" s="5"/>
      <c r="P442" s="56" t="s">
        <v>43</v>
      </c>
      <c r="Q442" s="56" t="s">
        <v>43</v>
      </c>
      <c r="R442" s="64"/>
      <c r="S442" s="68"/>
      <c r="T442" s="4" t="s">
        <v>249</v>
      </c>
      <c r="U442" s="1"/>
      <c r="V442" s="1"/>
      <c r="W442" s="25"/>
    </row>
    <row r="443" spans="1:23" ht="57" customHeight="1" x14ac:dyDescent="0.25">
      <c r="A443" s="95" t="s">
        <v>56</v>
      </c>
      <c r="B443" s="24" t="s">
        <v>930</v>
      </c>
      <c r="C443" s="25" t="s">
        <v>931</v>
      </c>
      <c r="D443" s="43" t="s">
        <v>951</v>
      </c>
      <c r="E443" s="1" t="s">
        <v>954</v>
      </c>
      <c r="F443" s="25" t="s">
        <v>26</v>
      </c>
      <c r="G443" s="43" t="s">
        <v>166</v>
      </c>
      <c r="H443" s="47" t="s">
        <v>39</v>
      </c>
      <c r="I443" s="149" t="s">
        <v>247</v>
      </c>
      <c r="J443" s="2" t="s">
        <v>38</v>
      </c>
      <c r="K443" s="47" t="s">
        <v>39</v>
      </c>
      <c r="L443" s="57"/>
      <c r="M443" s="5"/>
      <c r="N443" s="5"/>
      <c r="O443" s="5"/>
      <c r="P443" s="56" t="s">
        <v>43</v>
      </c>
      <c r="Q443" s="56" t="s">
        <v>43</v>
      </c>
      <c r="R443" s="64"/>
      <c r="S443" s="68"/>
      <c r="T443" s="4" t="s">
        <v>249</v>
      </c>
      <c r="U443" s="1"/>
      <c r="V443" s="1"/>
      <c r="W443" s="25"/>
    </row>
    <row r="444" spans="1:23" ht="42.75" customHeight="1" x14ac:dyDescent="0.25">
      <c r="A444" s="95" t="s">
        <v>56</v>
      </c>
      <c r="B444" s="24" t="s">
        <v>930</v>
      </c>
      <c r="C444" s="25">
        <v>1277</v>
      </c>
      <c r="D444" s="43" t="s">
        <v>958</v>
      </c>
      <c r="E444" s="1" t="s">
        <v>959</v>
      </c>
      <c r="F444" s="25" t="s">
        <v>22</v>
      </c>
      <c r="G444" s="43" t="s">
        <v>960</v>
      </c>
      <c r="H444" s="47" t="s">
        <v>119</v>
      </c>
      <c r="I444" s="152" t="s">
        <v>24</v>
      </c>
      <c r="J444" s="2" t="s">
        <v>11</v>
      </c>
      <c r="K444" s="47" t="s">
        <v>120</v>
      </c>
      <c r="L444" s="57"/>
      <c r="M444" s="3">
        <v>-3.2720162899999998</v>
      </c>
      <c r="N444" s="3">
        <v>-3.2720162899999998</v>
      </c>
      <c r="O444" s="3">
        <v>0</v>
      </c>
      <c r="P444" s="56">
        <v>-3.2720162899999998</v>
      </c>
      <c r="Q444" s="56" t="s">
        <v>43</v>
      </c>
      <c r="R444" s="64"/>
      <c r="S444" s="68"/>
      <c r="T444" s="4" t="s">
        <v>249</v>
      </c>
      <c r="U444" s="1"/>
      <c r="V444" s="1"/>
      <c r="W444" s="25"/>
    </row>
    <row r="445" spans="1:23" ht="42.75" customHeight="1" x14ac:dyDescent="0.25">
      <c r="A445" s="95" t="s">
        <v>56</v>
      </c>
      <c r="B445" s="24" t="s">
        <v>930</v>
      </c>
      <c r="C445" s="25" t="s">
        <v>931</v>
      </c>
      <c r="D445" s="43" t="s">
        <v>958</v>
      </c>
      <c r="E445" s="1" t="s">
        <v>959</v>
      </c>
      <c r="F445" s="25" t="s">
        <v>22</v>
      </c>
      <c r="G445" s="43" t="s">
        <v>960</v>
      </c>
      <c r="H445" s="47" t="s">
        <v>119</v>
      </c>
      <c r="I445" s="152" t="s">
        <v>24</v>
      </c>
      <c r="J445" s="2" t="s">
        <v>11</v>
      </c>
      <c r="K445" s="47" t="s">
        <v>120</v>
      </c>
      <c r="L445" s="57"/>
      <c r="M445" s="3">
        <v>0.91435819999999857</v>
      </c>
      <c r="N445" s="3">
        <v>0.91435819999999857</v>
      </c>
      <c r="O445" s="3">
        <v>0</v>
      </c>
      <c r="P445" s="56">
        <v>0.91435819999999857</v>
      </c>
      <c r="Q445" s="56" t="s">
        <v>43</v>
      </c>
      <c r="R445" s="64"/>
      <c r="S445" s="68"/>
      <c r="T445" s="4" t="s">
        <v>249</v>
      </c>
      <c r="U445" s="1"/>
      <c r="V445" s="1"/>
      <c r="W445" s="25"/>
    </row>
    <row r="446" spans="1:23" ht="42.75" customHeight="1" x14ac:dyDescent="0.25">
      <c r="A446" s="95" t="s">
        <v>56</v>
      </c>
      <c r="B446" s="24" t="s">
        <v>930</v>
      </c>
      <c r="C446" s="25" t="s">
        <v>934</v>
      </c>
      <c r="D446" s="43" t="s">
        <v>958</v>
      </c>
      <c r="E446" s="1" t="s">
        <v>959</v>
      </c>
      <c r="F446" s="25" t="s">
        <v>22</v>
      </c>
      <c r="G446" s="43" t="s">
        <v>960</v>
      </c>
      <c r="H446" s="47" t="s">
        <v>119</v>
      </c>
      <c r="I446" s="152" t="s">
        <v>24</v>
      </c>
      <c r="J446" s="2" t="s">
        <v>11</v>
      </c>
      <c r="K446" s="47" t="s">
        <v>120</v>
      </c>
      <c r="L446" s="57"/>
      <c r="M446" s="3">
        <v>-2.9565440000000002E-2</v>
      </c>
      <c r="N446" s="3">
        <v>-2.9565440000000002E-2</v>
      </c>
      <c r="O446" s="3">
        <v>0</v>
      </c>
      <c r="P446" s="56">
        <v>-2.9565440000000002E-2</v>
      </c>
      <c r="Q446" s="56" t="s">
        <v>43</v>
      </c>
      <c r="R446" s="64"/>
      <c r="S446" s="68"/>
      <c r="T446" s="4" t="s">
        <v>249</v>
      </c>
      <c r="U446" s="1"/>
      <c r="V446" s="1"/>
      <c r="W446" s="25"/>
    </row>
    <row r="447" spans="1:23" ht="42.75" customHeight="1" x14ac:dyDescent="0.25">
      <c r="A447" s="95" t="s">
        <v>56</v>
      </c>
      <c r="B447" s="24" t="s">
        <v>930</v>
      </c>
      <c r="C447" s="25" t="s">
        <v>936</v>
      </c>
      <c r="D447" s="43" t="s">
        <v>958</v>
      </c>
      <c r="E447" s="1" t="s">
        <v>959</v>
      </c>
      <c r="F447" s="25" t="s">
        <v>22</v>
      </c>
      <c r="G447" s="43" t="s">
        <v>960</v>
      </c>
      <c r="H447" s="47" t="s">
        <v>119</v>
      </c>
      <c r="I447" s="152" t="s">
        <v>24</v>
      </c>
      <c r="J447" s="2" t="s">
        <v>11</v>
      </c>
      <c r="K447" s="47" t="s">
        <v>120</v>
      </c>
      <c r="L447" s="57"/>
      <c r="M447" s="3">
        <v>8.685768000000002E-2</v>
      </c>
      <c r="N447" s="3">
        <v>8.685768000000002E-2</v>
      </c>
      <c r="O447" s="3">
        <v>0</v>
      </c>
      <c r="P447" s="56">
        <v>8.685768000000002E-2</v>
      </c>
      <c r="Q447" s="56" t="s">
        <v>43</v>
      </c>
      <c r="R447" s="64"/>
      <c r="S447" s="68"/>
      <c r="T447" s="4" t="s">
        <v>249</v>
      </c>
      <c r="U447" s="1"/>
      <c r="V447" s="1"/>
      <c r="W447" s="25"/>
    </row>
    <row r="448" spans="1:23" ht="43.5" customHeight="1" thickBot="1" x14ac:dyDescent="0.3">
      <c r="A448" s="96" t="s">
        <v>56</v>
      </c>
      <c r="B448" s="26" t="s">
        <v>930</v>
      </c>
      <c r="C448" s="32" t="s">
        <v>931</v>
      </c>
      <c r="D448" s="44" t="s">
        <v>958</v>
      </c>
      <c r="E448" s="27" t="s">
        <v>959</v>
      </c>
      <c r="F448" s="32" t="s">
        <v>22</v>
      </c>
      <c r="G448" s="44" t="s">
        <v>626</v>
      </c>
      <c r="H448" s="48" t="s">
        <v>119</v>
      </c>
      <c r="I448" s="193" t="s">
        <v>24</v>
      </c>
      <c r="J448" s="28" t="s">
        <v>11</v>
      </c>
      <c r="K448" s="48" t="s">
        <v>120</v>
      </c>
      <c r="L448" s="58"/>
      <c r="M448" s="30">
        <v>0.01</v>
      </c>
      <c r="N448" s="30">
        <v>0.01</v>
      </c>
      <c r="O448" s="30">
        <v>0</v>
      </c>
      <c r="P448" s="59">
        <v>0.01</v>
      </c>
      <c r="Q448" s="59" t="s">
        <v>43</v>
      </c>
      <c r="R448" s="65"/>
      <c r="S448" s="69"/>
      <c r="T448" s="31" t="s">
        <v>249</v>
      </c>
      <c r="U448" s="27"/>
      <c r="V448" s="27"/>
      <c r="W448" s="32"/>
    </row>
    <row r="449" spans="1:23" ht="42.75" customHeight="1" x14ac:dyDescent="0.25">
      <c r="A449" s="94" t="s">
        <v>56</v>
      </c>
      <c r="B449" s="18" t="s">
        <v>91</v>
      </c>
      <c r="C449" s="23">
        <v>1303</v>
      </c>
      <c r="D449" s="42" t="s">
        <v>961</v>
      </c>
      <c r="E449" s="19" t="s">
        <v>962</v>
      </c>
      <c r="F449" s="23" t="s">
        <v>22</v>
      </c>
      <c r="G449" s="42" t="s">
        <v>122</v>
      </c>
      <c r="H449" s="46" t="s">
        <v>119</v>
      </c>
      <c r="I449" s="150" t="s">
        <v>399</v>
      </c>
      <c r="J449" s="20" t="s">
        <v>10</v>
      </c>
      <c r="K449" s="46" t="s">
        <v>49</v>
      </c>
      <c r="L449" s="76">
        <v>3.7360000000000002</v>
      </c>
      <c r="M449" s="21"/>
      <c r="N449" s="21"/>
      <c r="O449" s="21"/>
      <c r="P449" s="54">
        <v>3.7360000000000002</v>
      </c>
      <c r="Q449" s="54">
        <v>3.7360000000000002</v>
      </c>
      <c r="R449" s="63"/>
      <c r="S449" s="67" t="s">
        <v>720</v>
      </c>
      <c r="T449" s="22" t="s">
        <v>721</v>
      </c>
      <c r="U449" s="19" t="s">
        <v>43</v>
      </c>
      <c r="V449" s="19" t="s">
        <v>25</v>
      </c>
      <c r="W449" s="23" t="s">
        <v>963</v>
      </c>
    </row>
    <row r="450" spans="1:23" ht="42.75" customHeight="1" x14ac:dyDescent="0.25">
      <c r="A450" s="95" t="s">
        <v>56</v>
      </c>
      <c r="B450" s="24" t="s">
        <v>91</v>
      </c>
      <c r="C450" s="25">
        <v>1303</v>
      </c>
      <c r="D450" s="43" t="s">
        <v>964</v>
      </c>
      <c r="E450" s="1" t="s">
        <v>965</v>
      </c>
      <c r="F450" s="25" t="s">
        <v>22</v>
      </c>
      <c r="G450" s="43" t="s">
        <v>47</v>
      </c>
      <c r="H450" s="47" t="s">
        <v>36</v>
      </c>
      <c r="I450" s="149" t="s">
        <v>117</v>
      </c>
      <c r="J450" s="2" t="s">
        <v>10</v>
      </c>
      <c r="K450" s="47" t="s">
        <v>120</v>
      </c>
      <c r="L450" s="55">
        <v>1.464</v>
      </c>
      <c r="M450" s="5"/>
      <c r="N450" s="5"/>
      <c r="O450" s="5"/>
      <c r="P450" s="56">
        <v>1.464</v>
      </c>
      <c r="Q450" s="56">
        <v>1.464</v>
      </c>
      <c r="R450" s="64"/>
      <c r="S450" s="68" t="s">
        <v>720</v>
      </c>
      <c r="T450" s="4" t="s">
        <v>721</v>
      </c>
      <c r="U450" s="1" t="s">
        <v>43</v>
      </c>
      <c r="V450" s="1" t="s">
        <v>25</v>
      </c>
      <c r="W450" s="25" t="s">
        <v>963</v>
      </c>
    </row>
    <row r="451" spans="1:23" ht="42.75" customHeight="1" x14ac:dyDescent="0.25">
      <c r="A451" s="95" t="s">
        <v>56</v>
      </c>
      <c r="B451" s="24" t="s">
        <v>91</v>
      </c>
      <c r="C451" s="25">
        <v>1303</v>
      </c>
      <c r="D451" s="43" t="s">
        <v>966</v>
      </c>
      <c r="E451" s="1" t="s">
        <v>967</v>
      </c>
      <c r="F451" s="25" t="s">
        <v>22</v>
      </c>
      <c r="G451" s="43" t="s">
        <v>47</v>
      </c>
      <c r="H451" s="47" t="s">
        <v>36</v>
      </c>
      <c r="I451" s="149" t="s">
        <v>30</v>
      </c>
      <c r="J451" s="2" t="s">
        <v>38</v>
      </c>
      <c r="K451" s="47" t="s">
        <v>39</v>
      </c>
      <c r="L451" s="57"/>
      <c r="M451" s="5"/>
      <c r="N451" s="5"/>
      <c r="O451" s="5"/>
      <c r="P451" s="56">
        <v>1.266</v>
      </c>
      <c r="Q451" s="56">
        <v>1.266</v>
      </c>
      <c r="R451" s="64"/>
      <c r="S451" s="68" t="s">
        <v>720</v>
      </c>
      <c r="T451" s="4" t="s">
        <v>721</v>
      </c>
      <c r="U451" s="1" t="s">
        <v>43</v>
      </c>
      <c r="V451" s="1" t="s">
        <v>25</v>
      </c>
      <c r="W451" s="25" t="s">
        <v>963</v>
      </c>
    </row>
    <row r="452" spans="1:23" ht="42.75" customHeight="1" x14ac:dyDescent="0.25">
      <c r="A452" s="95" t="s">
        <v>56</v>
      </c>
      <c r="B452" s="24" t="s">
        <v>91</v>
      </c>
      <c r="C452" s="25">
        <v>1303</v>
      </c>
      <c r="D452" s="43" t="s">
        <v>964</v>
      </c>
      <c r="E452" s="1" t="s">
        <v>968</v>
      </c>
      <c r="F452" s="25" t="s">
        <v>22</v>
      </c>
      <c r="G452" s="43" t="s">
        <v>383</v>
      </c>
      <c r="H452" s="47" t="s">
        <v>119</v>
      </c>
      <c r="I452" s="149" t="s">
        <v>24</v>
      </c>
      <c r="J452" s="2" t="s">
        <v>11</v>
      </c>
      <c r="K452" s="47" t="s">
        <v>120</v>
      </c>
      <c r="L452" s="57"/>
      <c r="M452" s="3">
        <v>6.4969999999999999</v>
      </c>
      <c r="N452" s="3">
        <v>6.4969999999999999</v>
      </c>
      <c r="O452" s="3">
        <v>0</v>
      </c>
      <c r="P452" s="56">
        <v>6.4969999999999999</v>
      </c>
      <c r="Q452" s="56">
        <v>7.5</v>
      </c>
      <c r="R452" s="64"/>
      <c r="S452" s="68" t="s">
        <v>720</v>
      </c>
      <c r="T452" s="4" t="s">
        <v>721</v>
      </c>
      <c r="U452" s="1" t="s">
        <v>43</v>
      </c>
      <c r="V452" s="1" t="s">
        <v>25</v>
      </c>
      <c r="W452" s="25" t="s">
        <v>963</v>
      </c>
    </row>
    <row r="453" spans="1:23" ht="42.75" customHeight="1" x14ac:dyDescent="0.25">
      <c r="A453" s="95" t="s">
        <v>56</v>
      </c>
      <c r="B453" s="24" t="s">
        <v>91</v>
      </c>
      <c r="C453" s="25">
        <v>1303</v>
      </c>
      <c r="D453" s="43" t="s">
        <v>964</v>
      </c>
      <c r="E453" s="1" t="s">
        <v>969</v>
      </c>
      <c r="F453" s="25" t="s">
        <v>22</v>
      </c>
      <c r="G453" s="43" t="s">
        <v>383</v>
      </c>
      <c r="H453" s="47" t="s">
        <v>119</v>
      </c>
      <c r="I453" s="149" t="s">
        <v>24</v>
      </c>
      <c r="J453" s="2" t="s">
        <v>11</v>
      </c>
      <c r="K453" s="47" t="s">
        <v>120</v>
      </c>
      <c r="L453" s="57"/>
      <c r="M453" s="3">
        <v>7.3999999999999996E-2</v>
      </c>
      <c r="N453" s="3">
        <v>7.3999999999999996E-2</v>
      </c>
      <c r="O453" s="3">
        <v>0</v>
      </c>
      <c r="P453" s="56">
        <v>7.3999999999999996E-2</v>
      </c>
      <c r="Q453" s="56">
        <v>7.3999999999999996E-2</v>
      </c>
      <c r="R453" s="64"/>
      <c r="S453" s="68" t="s">
        <v>720</v>
      </c>
      <c r="T453" s="4" t="s">
        <v>721</v>
      </c>
      <c r="U453" s="1" t="s">
        <v>43</v>
      </c>
      <c r="V453" s="1" t="s">
        <v>25</v>
      </c>
      <c r="W453" s="25" t="s">
        <v>963</v>
      </c>
    </row>
    <row r="454" spans="1:23" ht="42.75" customHeight="1" x14ac:dyDescent="0.25">
      <c r="A454" s="95" t="s">
        <v>56</v>
      </c>
      <c r="B454" s="24" t="s">
        <v>91</v>
      </c>
      <c r="C454" s="25">
        <v>1114</v>
      </c>
      <c r="D454" s="43" t="s">
        <v>964</v>
      </c>
      <c r="E454" s="1" t="s">
        <v>970</v>
      </c>
      <c r="F454" s="25" t="s">
        <v>31</v>
      </c>
      <c r="G454" s="43" t="s">
        <v>383</v>
      </c>
      <c r="H454" s="47" t="s">
        <v>119</v>
      </c>
      <c r="I454" s="149" t="s">
        <v>117</v>
      </c>
      <c r="J454" s="2" t="s">
        <v>10</v>
      </c>
      <c r="K454" s="47" t="s">
        <v>120</v>
      </c>
      <c r="L454" s="55">
        <v>3.5462682124832616</v>
      </c>
      <c r="M454" s="5"/>
      <c r="N454" s="5"/>
      <c r="O454" s="5"/>
      <c r="P454" s="56">
        <v>3.5462682124832616</v>
      </c>
      <c r="Q454" s="56">
        <v>3.5462682124832616</v>
      </c>
      <c r="R454" s="64"/>
      <c r="S454" s="68" t="s">
        <v>41</v>
      </c>
      <c r="T454" s="4" t="s">
        <v>42</v>
      </c>
      <c r="U454" s="1" t="s">
        <v>43</v>
      </c>
      <c r="V454" s="1" t="s">
        <v>25</v>
      </c>
      <c r="W454" s="25" t="s">
        <v>963</v>
      </c>
    </row>
    <row r="455" spans="1:23" ht="42.75" customHeight="1" x14ac:dyDescent="0.25">
      <c r="A455" s="95" t="s">
        <v>56</v>
      </c>
      <c r="B455" s="24" t="s">
        <v>91</v>
      </c>
      <c r="C455" s="25">
        <v>1114</v>
      </c>
      <c r="D455" s="43" t="s">
        <v>964</v>
      </c>
      <c r="E455" s="1" t="s">
        <v>971</v>
      </c>
      <c r="F455" s="25" t="s">
        <v>31</v>
      </c>
      <c r="G455" s="43" t="s">
        <v>383</v>
      </c>
      <c r="H455" s="47" t="s">
        <v>119</v>
      </c>
      <c r="I455" s="149" t="s">
        <v>117</v>
      </c>
      <c r="J455" s="2" t="s">
        <v>10</v>
      </c>
      <c r="K455" s="47" t="s">
        <v>120</v>
      </c>
      <c r="L455" s="55">
        <v>0.48199999999999998</v>
      </c>
      <c r="M455" s="5"/>
      <c r="N455" s="5"/>
      <c r="O455" s="5"/>
      <c r="P455" s="56">
        <v>0.48199999999999998</v>
      </c>
      <c r="Q455" s="56">
        <v>0.48199999999999998</v>
      </c>
      <c r="R455" s="64"/>
      <c r="S455" s="68" t="s">
        <v>41</v>
      </c>
      <c r="T455" s="4" t="s">
        <v>42</v>
      </c>
      <c r="U455" s="1" t="s">
        <v>43</v>
      </c>
      <c r="V455" s="1" t="s">
        <v>25</v>
      </c>
      <c r="W455" s="25" t="s">
        <v>963</v>
      </c>
    </row>
    <row r="456" spans="1:23" ht="57" customHeight="1" x14ac:dyDescent="0.25">
      <c r="A456" s="95" t="s">
        <v>56</v>
      </c>
      <c r="B456" s="24" t="s">
        <v>91</v>
      </c>
      <c r="C456" s="25">
        <v>1114</v>
      </c>
      <c r="D456" s="43" t="s">
        <v>972</v>
      </c>
      <c r="E456" s="1" t="s">
        <v>973</v>
      </c>
      <c r="F456" s="25" t="s">
        <v>26</v>
      </c>
      <c r="G456" s="43" t="s">
        <v>242</v>
      </c>
      <c r="H456" s="47" t="s">
        <v>39</v>
      </c>
      <c r="I456" s="149" t="s">
        <v>28</v>
      </c>
      <c r="J456" s="2" t="s">
        <v>38</v>
      </c>
      <c r="K456" s="47" t="s">
        <v>39</v>
      </c>
      <c r="L456" s="57"/>
      <c r="M456" s="5"/>
      <c r="N456" s="5"/>
      <c r="O456" s="5"/>
      <c r="P456" s="56"/>
      <c r="Q456" s="56"/>
      <c r="R456" s="64"/>
      <c r="S456" s="68" t="s">
        <v>41</v>
      </c>
      <c r="T456" s="4" t="s">
        <v>42</v>
      </c>
      <c r="U456" s="1" t="s">
        <v>43</v>
      </c>
      <c r="V456" s="1" t="s">
        <v>25</v>
      </c>
      <c r="W456" s="25" t="s">
        <v>963</v>
      </c>
    </row>
    <row r="457" spans="1:23" ht="57" customHeight="1" x14ac:dyDescent="0.25">
      <c r="A457" s="95" t="s">
        <v>56</v>
      </c>
      <c r="B457" s="24" t="s">
        <v>91</v>
      </c>
      <c r="C457" s="25">
        <v>1114</v>
      </c>
      <c r="D457" s="43" t="s">
        <v>974</v>
      </c>
      <c r="E457" s="1" t="s">
        <v>975</v>
      </c>
      <c r="F457" s="25" t="s">
        <v>26</v>
      </c>
      <c r="G457" s="43" t="s">
        <v>29</v>
      </c>
      <c r="H457" s="47" t="s">
        <v>39</v>
      </c>
      <c r="I457" s="149" t="s">
        <v>28</v>
      </c>
      <c r="J457" s="2" t="s">
        <v>38</v>
      </c>
      <c r="K457" s="47" t="s">
        <v>39</v>
      </c>
      <c r="L457" s="57"/>
      <c r="M457" s="5"/>
      <c r="N457" s="5"/>
      <c r="O457" s="5"/>
      <c r="P457" s="56"/>
      <c r="Q457" s="56"/>
      <c r="R457" s="64"/>
      <c r="S457" s="68" t="s">
        <v>41</v>
      </c>
      <c r="T457" s="4" t="s">
        <v>42</v>
      </c>
      <c r="U457" s="1" t="s">
        <v>43</v>
      </c>
      <c r="V457" s="1" t="s">
        <v>25</v>
      </c>
      <c r="W457" s="25" t="s">
        <v>963</v>
      </c>
    </row>
    <row r="458" spans="1:23" ht="57" customHeight="1" x14ac:dyDescent="0.25">
      <c r="A458" s="95" t="s">
        <v>56</v>
      </c>
      <c r="B458" s="24" t="s">
        <v>91</v>
      </c>
      <c r="C458" s="25">
        <v>1114</v>
      </c>
      <c r="D458" s="43" t="s">
        <v>976</v>
      </c>
      <c r="E458" s="1" t="s">
        <v>977</v>
      </c>
      <c r="F458" s="25" t="s">
        <v>26</v>
      </c>
      <c r="G458" s="43" t="s">
        <v>760</v>
      </c>
      <c r="H458" s="47" t="s">
        <v>39</v>
      </c>
      <c r="I458" s="149" t="s">
        <v>245</v>
      </c>
      <c r="J458" s="2" t="s">
        <v>38</v>
      </c>
      <c r="K458" s="47" t="s">
        <v>39</v>
      </c>
      <c r="L458" s="57"/>
      <c r="M458" s="5"/>
      <c r="N458" s="5"/>
      <c r="O458" s="5"/>
      <c r="P458" s="56"/>
      <c r="Q458" s="56"/>
      <c r="R458" s="64"/>
      <c r="S458" s="68" t="s">
        <v>41</v>
      </c>
      <c r="T458" s="4" t="s">
        <v>42</v>
      </c>
      <c r="U458" s="1" t="s">
        <v>43</v>
      </c>
      <c r="V458" s="1" t="s">
        <v>25</v>
      </c>
      <c r="W458" s="25" t="s">
        <v>963</v>
      </c>
    </row>
    <row r="459" spans="1:23" ht="57" customHeight="1" x14ac:dyDescent="0.25">
      <c r="A459" s="95" t="s">
        <v>56</v>
      </c>
      <c r="B459" s="24" t="s">
        <v>91</v>
      </c>
      <c r="C459" s="25">
        <v>1114</v>
      </c>
      <c r="D459" s="43" t="s">
        <v>978</v>
      </c>
      <c r="E459" s="1" t="s">
        <v>239</v>
      </c>
      <c r="F459" s="25" t="s">
        <v>26</v>
      </c>
      <c r="G459" s="43" t="s">
        <v>27</v>
      </c>
      <c r="H459" s="47" t="s">
        <v>39</v>
      </c>
      <c r="I459" s="152" t="s">
        <v>28</v>
      </c>
      <c r="J459" s="2" t="s">
        <v>38</v>
      </c>
      <c r="K459" s="47" t="s">
        <v>39</v>
      </c>
      <c r="L459" s="57"/>
      <c r="M459" s="5"/>
      <c r="N459" s="5"/>
      <c r="O459" s="5"/>
      <c r="P459" s="56"/>
      <c r="Q459" s="56"/>
      <c r="R459" s="64"/>
      <c r="S459" s="68" t="s">
        <v>41</v>
      </c>
      <c r="T459" s="4" t="s">
        <v>42</v>
      </c>
      <c r="U459" s="1" t="s">
        <v>43</v>
      </c>
      <c r="V459" s="1" t="s">
        <v>25</v>
      </c>
      <c r="W459" s="25" t="s">
        <v>963</v>
      </c>
    </row>
    <row r="460" spans="1:23" ht="57" customHeight="1" x14ac:dyDescent="0.25">
      <c r="A460" s="95" t="s">
        <v>56</v>
      </c>
      <c r="B460" s="24" t="s">
        <v>91</v>
      </c>
      <c r="C460" s="25">
        <v>1114</v>
      </c>
      <c r="D460" s="43" t="s">
        <v>966</v>
      </c>
      <c r="E460" s="1" t="s">
        <v>240</v>
      </c>
      <c r="F460" s="25" t="s">
        <v>26</v>
      </c>
      <c r="G460" s="43" t="s">
        <v>183</v>
      </c>
      <c r="H460" s="47" t="s">
        <v>39</v>
      </c>
      <c r="I460" s="149" t="s">
        <v>30</v>
      </c>
      <c r="J460" s="2" t="s">
        <v>38</v>
      </c>
      <c r="K460" s="47" t="s">
        <v>39</v>
      </c>
      <c r="L460" s="57"/>
      <c r="M460" s="5"/>
      <c r="N460" s="5"/>
      <c r="O460" s="5"/>
      <c r="P460" s="56"/>
      <c r="Q460" s="56"/>
      <c r="R460" s="64"/>
      <c r="S460" s="68" t="s">
        <v>41</v>
      </c>
      <c r="T460" s="4" t="s">
        <v>42</v>
      </c>
      <c r="U460" s="1" t="s">
        <v>43</v>
      </c>
      <c r="V460" s="1" t="s">
        <v>25</v>
      </c>
      <c r="W460" s="25" t="s">
        <v>963</v>
      </c>
    </row>
    <row r="461" spans="1:23" ht="57" customHeight="1" x14ac:dyDescent="0.25">
      <c r="A461" s="95" t="s">
        <v>56</v>
      </c>
      <c r="B461" s="24" t="s">
        <v>91</v>
      </c>
      <c r="C461" s="25">
        <v>1303</v>
      </c>
      <c r="D461" s="43" t="s">
        <v>979</v>
      </c>
      <c r="E461" s="1" t="s">
        <v>980</v>
      </c>
      <c r="F461" s="25" t="s">
        <v>26</v>
      </c>
      <c r="G461" s="43" t="s">
        <v>238</v>
      </c>
      <c r="H461" s="47" t="s">
        <v>39</v>
      </c>
      <c r="I461" s="149" t="s">
        <v>37</v>
      </c>
      <c r="J461" s="2" t="s">
        <v>38</v>
      </c>
      <c r="K461" s="47" t="s">
        <v>39</v>
      </c>
      <c r="L461" s="57"/>
      <c r="M461" s="5"/>
      <c r="N461" s="5"/>
      <c r="O461" s="5"/>
      <c r="P461" s="56"/>
      <c r="Q461" s="56"/>
      <c r="R461" s="64"/>
      <c r="S461" s="68" t="s">
        <v>157</v>
      </c>
      <c r="T461" s="4" t="s">
        <v>158</v>
      </c>
      <c r="U461" s="1" t="s">
        <v>43</v>
      </c>
      <c r="V461" s="1" t="s">
        <v>25</v>
      </c>
      <c r="W461" s="25" t="s">
        <v>963</v>
      </c>
    </row>
    <row r="462" spans="1:23" ht="57" customHeight="1" x14ac:dyDescent="0.25">
      <c r="A462" s="95" t="s">
        <v>56</v>
      </c>
      <c r="B462" s="24" t="s">
        <v>91</v>
      </c>
      <c r="C462" s="25">
        <v>1303</v>
      </c>
      <c r="D462" s="43" t="s">
        <v>981</v>
      </c>
      <c r="E462" s="1" t="s">
        <v>982</v>
      </c>
      <c r="F462" s="25" t="s">
        <v>26</v>
      </c>
      <c r="G462" s="43" t="s">
        <v>29</v>
      </c>
      <c r="H462" s="47" t="s">
        <v>39</v>
      </c>
      <c r="I462" s="149" t="s">
        <v>28</v>
      </c>
      <c r="J462" s="2" t="s">
        <v>38</v>
      </c>
      <c r="K462" s="47" t="s">
        <v>39</v>
      </c>
      <c r="L462" s="57"/>
      <c r="M462" s="5"/>
      <c r="N462" s="5"/>
      <c r="O462" s="5"/>
      <c r="P462" s="56"/>
      <c r="Q462" s="56"/>
      <c r="R462" s="64"/>
      <c r="S462" s="68" t="s">
        <v>157</v>
      </c>
      <c r="T462" s="4" t="s">
        <v>158</v>
      </c>
      <c r="U462" s="1" t="s">
        <v>43</v>
      </c>
      <c r="V462" s="1" t="s">
        <v>25</v>
      </c>
      <c r="W462" s="25" t="s">
        <v>963</v>
      </c>
    </row>
    <row r="463" spans="1:23" ht="57" customHeight="1" x14ac:dyDescent="0.25">
      <c r="A463" s="95" t="s">
        <v>56</v>
      </c>
      <c r="B463" s="24" t="s">
        <v>91</v>
      </c>
      <c r="C463" s="25">
        <v>1303</v>
      </c>
      <c r="D463" s="43" t="s">
        <v>976</v>
      </c>
      <c r="E463" s="1" t="s">
        <v>983</v>
      </c>
      <c r="F463" s="25" t="s">
        <v>26</v>
      </c>
      <c r="G463" s="43" t="s">
        <v>356</v>
      </c>
      <c r="H463" s="47" t="s">
        <v>39</v>
      </c>
      <c r="I463" s="149" t="s">
        <v>245</v>
      </c>
      <c r="J463" s="2" t="s">
        <v>38</v>
      </c>
      <c r="K463" s="47" t="s">
        <v>39</v>
      </c>
      <c r="L463" s="57"/>
      <c r="M463" s="5"/>
      <c r="N463" s="5"/>
      <c r="O463" s="5"/>
      <c r="P463" s="56"/>
      <c r="Q463" s="56"/>
      <c r="R463" s="64"/>
      <c r="S463" s="68" t="s">
        <v>157</v>
      </c>
      <c r="T463" s="4" t="s">
        <v>158</v>
      </c>
      <c r="U463" s="1" t="s">
        <v>43</v>
      </c>
      <c r="V463" s="1" t="s">
        <v>25</v>
      </c>
      <c r="W463" s="25" t="s">
        <v>963</v>
      </c>
    </row>
    <row r="464" spans="1:23" ht="57" customHeight="1" x14ac:dyDescent="0.25">
      <c r="A464" s="95" t="s">
        <v>56</v>
      </c>
      <c r="B464" s="24" t="s">
        <v>91</v>
      </c>
      <c r="C464" s="25">
        <v>1303</v>
      </c>
      <c r="D464" s="43" t="s">
        <v>981</v>
      </c>
      <c r="E464" s="1" t="s">
        <v>984</v>
      </c>
      <c r="F464" s="25" t="s">
        <v>26</v>
      </c>
      <c r="G464" s="43" t="s">
        <v>238</v>
      </c>
      <c r="H464" s="47" t="s">
        <v>39</v>
      </c>
      <c r="I464" s="149" t="s">
        <v>28</v>
      </c>
      <c r="J464" s="2" t="s">
        <v>38</v>
      </c>
      <c r="K464" s="47" t="s">
        <v>39</v>
      </c>
      <c r="L464" s="57"/>
      <c r="M464" s="5"/>
      <c r="N464" s="5"/>
      <c r="O464" s="5"/>
      <c r="P464" s="56"/>
      <c r="Q464" s="56"/>
      <c r="R464" s="64"/>
      <c r="S464" s="68" t="s">
        <v>157</v>
      </c>
      <c r="T464" s="4" t="s">
        <v>158</v>
      </c>
      <c r="U464" s="1" t="s">
        <v>43</v>
      </c>
      <c r="V464" s="1" t="s">
        <v>25</v>
      </c>
      <c r="W464" s="25" t="s">
        <v>963</v>
      </c>
    </row>
    <row r="465" spans="1:23" ht="57" customHeight="1" x14ac:dyDescent="0.25">
      <c r="A465" s="95" t="s">
        <v>56</v>
      </c>
      <c r="B465" s="24" t="s">
        <v>91</v>
      </c>
      <c r="C465" s="25">
        <v>1303</v>
      </c>
      <c r="D465" s="43" t="s">
        <v>981</v>
      </c>
      <c r="E465" s="1" t="s">
        <v>1003</v>
      </c>
      <c r="F465" s="25" t="s">
        <v>31</v>
      </c>
      <c r="G465" s="43" t="s">
        <v>566</v>
      </c>
      <c r="H465" s="47" t="s">
        <v>39</v>
      </c>
      <c r="I465" s="149" t="s">
        <v>28</v>
      </c>
      <c r="J465" s="2" t="s">
        <v>38</v>
      </c>
      <c r="K465" s="47" t="s">
        <v>39</v>
      </c>
      <c r="L465" s="57"/>
      <c r="M465" s="5"/>
      <c r="N465" s="5"/>
      <c r="O465" s="5"/>
      <c r="P465" s="56"/>
      <c r="Q465" s="56"/>
      <c r="R465" s="64"/>
      <c r="S465" s="68" t="s">
        <v>157</v>
      </c>
      <c r="T465" s="4" t="s">
        <v>158</v>
      </c>
      <c r="U465" s="1" t="s">
        <v>43</v>
      </c>
      <c r="V465" s="1" t="s">
        <v>25</v>
      </c>
      <c r="W465" s="25" t="s">
        <v>963</v>
      </c>
    </row>
    <row r="466" spans="1:23" ht="57" customHeight="1" x14ac:dyDescent="0.25">
      <c r="A466" s="95" t="s">
        <v>56</v>
      </c>
      <c r="B466" s="24" t="s">
        <v>91</v>
      </c>
      <c r="C466" s="25">
        <v>1114</v>
      </c>
      <c r="D466" s="43" t="s">
        <v>985</v>
      </c>
      <c r="E466" s="1" t="s">
        <v>986</v>
      </c>
      <c r="F466" s="25" t="s">
        <v>26</v>
      </c>
      <c r="G466" s="43" t="s">
        <v>496</v>
      </c>
      <c r="H466" s="47" t="s">
        <v>39</v>
      </c>
      <c r="I466" s="149" t="s">
        <v>28</v>
      </c>
      <c r="J466" s="2" t="s">
        <v>38</v>
      </c>
      <c r="K466" s="47" t="s">
        <v>39</v>
      </c>
      <c r="L466" s="57"/>
      <c r="M466" s="5"/>
      <c r="N466" s="5"/>
      <c r="O466" s="5"/>
      <c r="P466" s="56"/>
      <c r="Q466" s="56"/>
      <c r="R466" s="64"/>
      <c r="S466" s="68" t="s">
        <v>41</v>
      </c>
      <c r="T466" s="4" t="s">
        <v>42</v>
      </c>
      <c r="U466" s="1" t="s">
        <v>43</v>
      </c>
      <c r="V466" s="1" t="s">
        <v>25</v>
      </c>
      <c r="W466" s="25" t="s">
        <v>963</v>
      </c>
    </row>
    <row r="467" spans="1:23" ht="71.25" customHeight="1" x14ac:dyDescent="0.25">
      <c r="A467" s="95" t="s">
        <v>56</v>
      </c>
      <c r="B467" s="24" t="s">
        <v>91</v>
      </c>
      <c r="C467" s="25">
        <v>1114</v>
      </c>
      <c r="D467" s="43" t="s">
        <v>987</v>
      </c>
      <c r="E467" s="1" t="s">
        <v>988</v>
      </c>
      <c r="F467" s="25" t="s">
        <v>26</v>
      </c>
      <c r="G467" s="43" t="s">
        <v>166</v>
      </c>
      <c r="H467" s="47" t="s">
        <v>39</v>
      </c>
      <c r="I467" s="149" t="s">
        <v>247</v>
      </c>
      <c r="J467" s="2" t="s">
        <v>38</v>
      </c>
      <c r="K467" s="47" t="s">
        <v>39</v>
      </c>
      <c r="L467" s="57"/>
      <c r="M467" s="5"/>
      <c r="N467" s="5"/>
      <c r="O467" s="5"/>
      <c r="P467" s="56"/>
      <c r="Q467" s="56"/>
      <c r="R467" s="64"/>
      <c r="S467" s="68" t="s">
        <v>41</v>
      </c>
      <c r="T467" s="4" t="s">
        <v>42</v>
      </c>
      <c r="U467" s="1" t="s">
        <v>43</v>
      </c>
      <c r="V467" s="1" t="s">
        <v>25</v>
      </c>
      <c r="W467" s="25" t="s">
        <v>963</v>
      </c>
    </row>
    <row r="468" spans="1:23" ht="57" customHeight="1" x14ac:dyDescent="0.25">
      <c r="A468" s="95" t="s">
        <v>56</v>
      </c>
      <c r="B468" s="24" t="s">
        <v>91</v>
      </c>
      <c r="C468" s="25">
        <v>1114</v>
      </c>
      <c r="D468" s="43" t="s">
        <v>989</v>
      </c>
      <c r="E468" s="1" t="s">
        <v>236</v>
      </c>
      <c r="F468" s="25" t="s">
        <v>26</v>
      </c>
      <c r="G468" s="43" t="s">
        <v>230</v>
      </c>
      <c r="H468" s="47" t="s">
        <v>39</v>
      </c>
      <c r="I468" s="149" t="s">
        <v>28</v>
      </c>
      <c r="J468" s="2" t="s">
        <v>38</v>
      </c>
      <c r="K468" s="47" t="s">
        <v>39</v>
      </c>
      <c r="L468" s="57"/>
      <c r="M468" s="5"/>
      <c r="N468" s="5"/>
      <c r="O468" s="5"/>
      <c r="P468" s="56"/>
      <c r="Q468" s="56"/>
      <c r="R468" s="64"/>
      <c r="S468" s="68" t="s">
        <v>41</v>
      </c>
      <c r="T468" s="4" t="s">
        <v>42</v>
      </c>
      <c r="U468" s="1" t="s">
        <v>43</v>
      </c>
      <c r="V468" s="1" t="s">
        <v>25</v>
      </c>
      <c r="W468" s="25" t="s">
        <v>963</v>
      </c>
    </row>
    <row r="469" spans="1:23" ht="57" customHeight="1" x14ac:dyDescent="0.25">
      <c r="A469" s="95" t="s">
        <v>56</v>
      </c>
      <c r="B469" s="24" t="s">
        <v>91</v>
      </c>
      <c r="C469" s="25">
        <v>1114</v>
      </c>
      <c r="D469" s="43" t="s">
        <v>990</v>
      </c>
      <c r="E469" s="1" t="s">
        <v>991</v>
      </c>
      <c r="F469" s="25" t="s">
        <v>26</v>
      </c>
      <c r="G469" s="43" t="s">
        <v>155</v>
      </c>
      <c r="H469" s="47" t="s">
        <v>39</v>
      </c>
      <c r="I469" s="149" t="s">
        <v>37</v>
      </c>
      <c r="J469" s="2" t="s">
        <v>38</v>
      </c>
      <c r="K469" s="47" t="s">
        <v>39</v>
      </c>
      <c r="L469" s="57"/>
      <c r="M469" s="5"/>
      <c r="N469" s="5"/>
      <c r="O469" s="5"/>
      <c r="P469" s="56"/>
      <c r="Q469" s="56"/>
      <c r="R469" s="64"/>
      <c r="S469" s="68" t="s">
        <v>41</v>
      </c>
      <c r="T469" s="4" t="s">
        <v>42</v>
      </c>
      <c r="U469" s="1" t="s">
        <v>43</v>
      </c>
      <c r="V469" s="1" t="s">
        <v>25</v>
      </c>
      <c r="W469" s="25" t="s">
        <v>963</v>
      </c>
    </row>
    <row r="470" spans="1:23" ht="57" customHeight="1" x14ac:dyDescent="0.25">
      <c r="A470" s="95" t="s">
        <v>56</v>
      </c>
      <c r="B470" s="24" t="s">
        <v>91</v>
      </c>
      <c r="C470" s="25">
        <v>1114</v>
      </c>
      <c r="D470" s="43" t="s">
        <v>992</v>
      </c>
      <c r="E470" s="1" t="s">
        <v>993</v>
      </c>
      <c r="F470" s="25" t="s">
        <v>26</v>
      </c>
      <c r="G470" s="43" t="s">
        <v>566</v>
      </c>
      <c r="H470" s="47" t="s">
        <v>39</v>
      </c>
      <c r="I470" s="149" t="s">
        <v>28</v>
      </c>
      <c r="J470" s="2" t="s">
        <v>38</v>
      </c>
      <c r="K470" s="47" t="s">
        <v>39</v>
      </c>
      <c r="L470" s="57"/>
      <c r="M470" s="5"/>
      <c r="N470" s="5"/>
      <c r="O470" s="5"/>
      <c r="P470" s="56"/>
      <c r="Q470" s="56"/>
      <c r="R470" s="64"/>
      <c r="S470" s="68" t="s">
        <v>41</v>
      </c>
      <c r="T470" s="4" t="s">
        <v>42</v>
      </c>
      <c r="U470" s="1" t="s">
        <v>43</v>
      </c>
      <c r="V470" s="1" t="s">
        <v>25</v>
      </c>
      <c r="W470" s="25" t="s">
        <v>963</v>
      </c>
    </row>
    <row r="471" spans="1:23" ht="57" customHeight="1" x14ac:dyDescent="0.25">
      <c r="A471" s="95" t="s">
        <v>56</v>
      </c>
      <c r="B471" s="24" t="s">
        <v>91</v>
      </c>
      <c r="C471" s="25">
        <v>1114</v>
      </c>
      <c r="D471" s="43" t="s">
        <v>994</v>
      </c>
      <c r="E471" s="1" t="s">
        <v>995</v>
      </c>
      <c r="F471" s="25" t="s">
        <v>26</v>
      </c>
      <c r="G471" s="43" t="s">
        <v>356</v>
      </c>
      <c r="H471" s="47" t="s">
        <v>39</v>
      </c>
      <c r="I471" s="149" t="s">
        <v>245</v>
      </c>
      <c r="J471" s="2" t="s">
        <v>38</v>
      </c>
      <c r="K471" s="47" t="s">
        <v>39</v>
      </c>
      <c r="L471" s="57"/>
      <c r="M471" s="5"/>
      <c r="N471" s="5"/>
      <c r="O471" s="5"/>
      <c r="P471" s="56"/>
      <c r="Q471" s="56"/>
      <c r="R471" s="64"/>
      <c r="S471" s="68" t="s">
        <v>41</v>
      </c>
      <c r="T471" s="4" t="s">
        <v>42</v>
      </c>
      <c r="U471" s="1" t="s">
        <v>43</v>
      </c>
      <c r="V471" s="1" t="s">
        <v>25</v>
      </c>
      <c r="W471" s="25" t="s">
        <v>963</v>
      </c>
    </row>
    <row r="472" spans="1:23" ht="57" customHeight="1" x14ac:dyDescent="0.25">
      <c r="A472" s="95" t="s">
        <v>56</v>
      </c>
      <c r="B472" s="24" t="s">
        <v>91</v>
      </c>
      <c r="C472" s="25">
        <v>1114</v>
      </c>
      <c r="D472" s="43" t="s">
        <v>996</v>
      </c>
      <c r="E472" s="1" t="s">
        <v>237</v>
      </c>
      <c r="F472" s="25" t="s">
        <v>26</v>
      </c>
      <c r="G472" s="43" t="s">
        <v>238</v>
      </c>
      <c r="H472" s="47" t="s">
        <v>39</v>
      </c>
      <c r="I472" s="149" t="s">
        <v>28</v>
      </c>
      <c r="J472" s="2" t="s">
        <v>38</v>
      </c>
      <c r="K472" s="47" t="s">
        <v>39</v>
      </c>
      <c r="L472" s="57"/>
      <c r="M472" s="5"/>
      <c r="N472" s="5"/>
      <c r="O472" s="5"/>
      <c r="P472" s="56"/>
      <c r="Q472" s="56"/>
      <c r="R472" s="64"/>
      <c r="S472" s="68" t="s">
        <v>41</v>
      </c>
      <c r="T472" s="4" t="s">
        <v>42</v>
      </c>
      <c r="U472" s="1" t="s">
        <v>43</v>
      </c>
      <c r="V472" s="1" t="s">
        <v>25</v>
      </c>
      <c r="W472" s="25" t="s">
        <v>963</v>
      </c>
    </row>
    <row r="473" spans="1:23" ht="57" customHeight="1" x14ac:dyDescent="0.25">
      <c r="A473" s="95" t="s">
        <v>56</v>
      </c>
      <c r="B473" s="24" t="s">
        <v>91</v>
      </c>
      <c r="C473" s="25">
        <v>1114</v>
      </c>
      <c r="D473" s="43" t="s">
        <v>997</v>
      </c>
      <c r="E473" s="1" t="s">
        <v>998</v>
      </c>
      <c r="F473" s="25" t="s">
        <v>26</v>
      </c>
      <c r="G473" s="43" t="s">
        <v>564</v>
      </c>
      <c r="H473" s="47" t="s">
        <v>39</v>
      </c>
      <c r="I473" s="149" t="s">
        <v>28</v>
      </c>
      <c r="J473" s="2" t="s">
        <v>38</v>
      </c>
      <c r="K473" s="47" t="s">
        <v>39</v>
      </c>
      <c r="L473" s="57"/>
      <c r="M473" s="5"/>
      <c r="N473" s="5"/>
      <c r="O473" s="5"/>
      <c r="P473" s="56"/>
      <c r="Q473" s="56"/>
      <c r="R473" s="64"/>
      <c r="S473" s="68" t="s">
        <v>41</v>
      </c>
      <c r="T473" s="4" t="s">
        <v>42</v>
      </c>
      <c r="U473" s="1" t="s">
        <v>43</v>
      </c>
      <c r="V473" s="1" t="s">
        <v>25</v>
      </c>
      <c r="W473" s="25" t="s">
        <v>963</v>
      </c>
    </row>
    <row r="474" spans="1:23" ht="57" customHeight="1" x14ac:dyDescent="0.25">
      <c r="A474" s="95" t="s">
        <v>56</v>
      </c>
      <c r="B474" s="24" t="s">
        <v>91</v>
      </c>
      <c r="C474" s="25">
        <v>1303</v>
      </c>
      <c r="D474" s="43" t="s">
        <v>985</v>
      </c>
      <c r="E474" s="1" t="s">
        <v>986</v>
      </c>
      <c r="F474" s="25" t="s">
        <v>26</v>
      </c>
      <c r="G474" s="43" t="s">
        <v>496</v>
      </c>
      <c r="H474" s="47" t="s">
        <v>39</v>
      </c>
      <c r="I474" s="149" t="s">
        <v>28</v>
      </c>
      <c r="J474" s="2" t="s">
        <v>38</v>
      </c>
      <c r="K474" s="47" t="s">
        <v>39</v>
      </c>
      <c r="L474" s="57"/>
      <c r="M474" s="5"/>
      <c r="N474" s="5"/>
      <c r="O474" s="5"/>
      <c r="P474" s="56"/>
      <c r="Q474" s="56"/>
      <c r="R474" s="64"/>
      <c r="S474" s="68" t="s">
        <v>41</v>
      </c>
      <c r="T474" s="4" t="s">
        <v>42</v>
      </c>
      <c r="U474" s="1" t="s">
        <v>43</v>
      </c>
      <c r="V474" s="1" t="s">
        <v>25</v>
      </c>
      <c r="W474" s="25" t="s">
        <v>963</v>
      </c>
    </row>
    <row r="475" spans="1:23" ht="57" customHeight="1" x14ac:dyDescent="0.25">
      <c r="A475" s="95" t="s">
        <v>56</v>
      </c>
      <c r="B475" s="24" t="s">
        <v>91</v>
      </c>
      <c r="C475" s="25">
        <v>1303</v>
      </c>
      <c r="D475" s="43" t="s">
        <v>999</v>
      </c>
      <c r="E475" s="1" t="s">
        <v>1000</v>
      </c>
      <c r="F475" s="25" t="s">
        <v>26</v>
      </c>
      <c r="G475" s="43" t="s">
        <v>155</v>
      </c>
      <c r="H475" s="47" t="s">
        <v>39</v>
      </c>
      <c r="I475" s="149" t="s">
        <v>37</v>
      </c>
      <c r="J475" s="2" t="s">
        <v>38</v>
      </c>
      <c r="K475" s="47" t="s">
        <v>39</v>
      </c>
      <c r="L475" s="57"/>
      <c r="M475" s="5"/>
      <c r="N475" s="5"/>
      <c r="O475" s="5"/>
      <c r="P475" s="56"/>
      <c r="Q475" s="56"/>
      <c r="R475" s="64"/>
      <c r="S475" s="68" t="s">
        <v>41</v>
      </c>
      <c r="T475" s="4" t="s">
        <v>42</v>
      </c>
      <c r="U475" s="1" t="s">
        <v>43</v>
      </c>
      <c r="V475" s="1" t="s">
        <v>25</v>
      </c>
      <c r="W475" s="25" t="s">
        <v>963</v>
      </c>
    </row>
    <row r="476" spans="1:23" ht="57" customHeight="1" x14ac:dyDescent="0.25">
      <c r="A476" s="95" t="s">
        <v>56</v>
      </c>
      <c r="B476" s="24" t="s">
        <v>91</v>
      </c>
      <c r="C476" s="25">
        <v>1303</v>
      </c>
      <c r="D476" s="43" t="s">
        <v>996</v>
      </c>
      <c r="E476" s="1" t="s">
        <v>1001</v>
      </c>
      <c r="F476" s="25" t="s">
        <v>26</v>
      </c>
      <c r="G476" s="43" t="s">
        <v>140</v>
      </c>
      <c r="H476" s="47" t="s">
        <v>39</v>
      </c>
      <c r="I476" s="149" t="s">
        <v>28</v>
      </c>
      <c r="J476" s="2" t="s">
        <v>38</v>
      </c>
      <c r="K476" s="47" t="s">
        <v>39</v>
      </c>
      <c r="L476" s="57"/>
      <c r="M476" s="5"/>
      <c r="N476" s="5"/>
      <c r="O476" s="5"/>
      <c r="P476" s="56"/>
      <c r="Q476" s="56"/>
      <c r="R476" s="64"/>
      <c r="S476" s="68" t="s">
        <v>41</v>
      </c>
      <c r="T476" s="4" t="s">
        <v>42</v>
      </c>
      <c r="U476" s="1" t="s">
        <v>43</v>
      </c>
      <c r="V476" s="1" t="s">
        <v>25</v>
      </c>
      <c r="W476" s="25" t="s">
        <v>963</v>
      </c>
    </row>
    <row r="477" spans="1:23" ht="57" customHeight="1" x14ac:dyDescent="0.25">
      <c r="A477" s="95" t="s">
        <v>56</v>
      </c>
      <c r="B477" s="24" t="s">
        <v>91</v>
      </c>
      <c r="C477" s="25">
        <v>1303</v>
      </c>
      <c r="D477" s="43" t="s">
        <v>972</v>
      </c>
      <c r="E477" s="1" t="s">
        <v>1002</v>
      </c>
      <c r="F477" s="25" t="s">
        <v>26</v>
      </c>
      <c r="G477" s="43" t="s">
        <v>242</v>
      </c>
      <c r="H477" s="47" t="s">
        <v>39</v>
      </c>
      <c r="I477" s="149" t="s">
        <v>28</v>
      </c>
      <c r="J477" s="2" t="s">
        <v>38</v>
      </c>
      <c r="K477" s="47" t="s">
        <v>39</v>
      </c>
      <c r="L477" s="57"/>
      <c r="M477" s="5"/>
      <c r="N477" s="5"/>
      <c r="O477" s="5"/>
      <c r="P477" s="56"/>
      <c r="Q477" s="56"/>
      <c r="R477" s="64"/>
      <c r="S477" s="68" t="s">
        <v>41</v>
      </c>
      <c r="T477" s="4" t="s">
        <v>42</v>
      </c>
      <c r="U477" s="1" t="s">
        <v>43</v>
      </c>
      <c r="V477" s="1" t="s">
        <v>25</v>
      </c>
      <c r="W477" s="25" t="s">
        <v>963</v>
      </c>
    </row>
    <row r="478" spans="1:23" ht="57" customHeight="1" x14ac:dyDescent="0.25">
      <c r="A478" s="153" t="s">
        <v>56</v>
      </c>
      <c r="B478" s="154" t="s">
        <v>91</v>
      </c>
      <c r="C478" s="155">
        <v>1303</v>
      </c>
      <c r="D478" s="156" t="s">
        <v>966</v>
      </c>
      <c r="E478" s="157" t="s">
        <v>240</v>
      </c>
      <c r="F478" s="155" t="s">
        <v>26</v>
      </c>
      <c r="G478" s="156" t="s">
        <v>183</v>
      </c>
      <c r="H478" s="158" t="s">
        <v>39</v>
      </c>
      <c r="I478" s="159" t="s">
        <v>30</v>
      </c>
      <c r="J478" s="160" t="s">
        <v>38</v>
      </c>
      <c r="K478" s="158" t="s">
        <v>39</v>
      </c>
      <c r="L478" s="161"/>
      <c r="M478" s="162"/>
      <c r="N478" s="162"/>
      <c r="O478" s="162"/>
      <c r="P478" s="163"/>
      <c r="Q478" s="163"/>
      <c r="R478" s="164"/>
      <c r="S478" s="165" t="s">
        <v>41</v>
      </c>
      <c r="T478" s="166" t="s">
        <v>42</v>
      </c>
      <c r="U478" s="157" t="s">
        <v>43</v>
      </c>
      <c r="V478" s="157" t="s">
        <v>25</v>
      </c>
      <c r="W478" s="155" t="s">
        <v>963</v>
      </c>
    </row>
    <row r="479" spans="1:23" ht="73.5" customHeight="1" thickBot="1" x14ac:dyDescent="0.3">
      <c r="A479" s="153" t="s">
        <v>56</v>
      </c>
      <c r="B479" s="154" t="s">
        <v>91</v>
      </c>
      <c r="C479" s="155">
        <v>1303</v>
      </c>
      <c r="D479" s="156" t="s">
        <v>131</v>
      </c>
      <c r="E479" s="168" t="s">
        <v>1236</v>
      </c>
      <c r="F479" s="155" t="s">
        <v>26</v>
      </c>
      <c r="G479" s="156" t="s">
        <v>383</v>
      </c>
      <c r="H479" s="47" t="s">
        <v>119</v>
      </c>
      <c r="I479" s="195" t="s">
        <v>134</v>
      </c>
      <c r="J479" s="160" t="s">
        <v>10</v>
      </c>
      <c r="K479" s="158" t="s">
        <v>151</v>
      </c>
      <c r="L479" s="167">
        <v>0.3</v>
      </c>
      <c r="M479" s="162"/>
      <c r="N479" s="162"/>
      <c r="O479" s="162"/>
      <c r="P479" s="163"/>
      <c r="Q479" s="163"/>
      <c r="R479" s="164"/>
      <c r="S479" s="165" t="s">
        <v>41</v>
      </c>
      <c r="T479" s="166" t="s">
        <v>42</v>
      </c>
      <c r="U479" s="157" t="s">
        <v>43</v>
      </c>
      <c r="V479" s="157" t="s">
        <v>25</v>
      </c>
      <c r="W479" s="155" t="s">
        <v>963</v>
      </c>
    </row>
    <row r="480" spans="1:23" ht="42.75" customHeight="1" x14ac:dyDescent="0.25">
      <c r="A480" s="94" t="s">
        <v>56</v>
      </c>
      <c r="B480" s="18" t="s">
        <v>92</v>
      </c>
      <c r="C480" s="23">
        <v>1172</v>
      </c>
      <c r="D480" s="42" t="s">
        <v>1004</v>
      </c>
      <c r="E480" s="19" t="s">
        <v>1005</v>
      </c>
      <c r="F480" s="23" t="s">
        <v>22</v>
      </c>
      <c r="G480" s="42" t="s">
        <v>47</v>
      </c>
      <c r="H480" s="46" t="s">
        <v>36</v>
      </c>
      <c r="I480" s="42" t="s">
        <v>48</v>
      </c>
      <c r="J480" s="20" t="s">
        <v>10</v>
      </c>
      <c r="K480" s="46" t="s">
        <v>49</v>
      </c>
      <c r="L480" s="76">
        <v>0.264589271684748</v>
      </c>
      <c r="M480" s="21"/>
      <c r="N480" s="21"/>
      <c r="O480" s="21"/>
      <c r="P480" s="54">
        <v>0.264589271684748</v>
      </c>
      <c r="Q480" s="54">
        <v>0.264589271684748</v>
      </c>
      <c r="R480" s="63" t="s">
        <v>1006</v>
      </c>
      <c r="S480" s="67" t="s">
        <v>41</v>
      </c>
      <c r="T480" s="22" t="s">
        <v>42</v>
      </c>
      <c r="U480" s="19" t="s">
        <v>159</v>
      </c>
      <c r="V480" s="19"/>
      <c r="W480" s="23" t="s">
        <v>1007</v>
      </c>
    </row>
    <row r="481" spans="1:23" ht="85.5" customHeight="1" x14ac:dyDescent="0.25">
      <c r="A481" s="95" t="s">
        <v>56</v>
      </c>
      <c r="B481" s="24" t="s">
        <v>92</v>
      </c>
      <c r="C481" s="25">
        <v>1172</v>
      </c>
      <c r="D481" s="43" t="s">
        <v>1008</v>
      </c>
      <c r="E481" s="1" t="s">
        <v>1009</v>
      </c>
      <c r="F481" s="25" t="s">
        <v>22</v>
      </c>
      <c r="G481" s="43" t="s">
        <v>35</v>
      </c>
      <c r="H481" s="47" t="s">
        <v>36</v>
      </c>
      <c r="I481" s="43" t="s">
        <v>51</v>
      </c>
      <c r="J481" s="2" t="s">
        <v>11</v>
      </c>
      <c r="K481" s="47" t="s">
        <v>49</v>
      </c>
      <c r="L481" s="57"/>
      <c r="M481" s="3">
        <v>0.01</v>
      </c>
      <c r="N481" s="3">
        <v>0.01</v>
      </c>
      <c r="O481" s="3">
        <v>0.01</v>
      </c>
      <c r="P481" s="56"/>
      <c r="Q481" s="56"/>
      <c r="R481" s="64" t="s">
        <v>1010</v>
      </c>
      <c r="S481" s="68" t="s">
        <v>41</v>
      </c>
      <c r="T481" s="4" t="s">
        <v>42</v>
      </c>
      <c r="U481" s="1" t="s">
        <v>43</v>
      </c>
      <c r="V481" s="1"/>
      <c r="W481" s="25" t="s">
        <v>1007</v>
      </c>
    </row>
    <row r="482" spans="1:23" ht="42.75" customHeight="1" x14ac:dyDescent="0.25">
      <c r="A482" s="95" t="s">
        <v>56</v>
      </c>
      <c r="B482" s="24" t="s">
        <v>92</v>
      </c>
      <c r="C482" s="25">
        <v>1172</v>
      </c>
      <c r="D482" s="43" t="s">
        <v>1011</v>
      </c>
      <c r="E482" s="1" t="s">
        <v>1012</v>
      </c>
      <c r="F482" s="25" t="s">
        <v>22</v>
      </c>
      <c r="G482" s="43" t="s">
        <v>47</v>
      </c>
      <c r="H482" s="47" t="s">
        <v>36</v>
      </c>
      <c r="I482" s="43" t="s">
        <v>117</v>
      </c>
      <c r="J482" s="2" t="s">
        <v>10</v>
      </c>
      <c r="K482" s="47" t="s">
        <v>120</v>
      </c>
      <c r="L482" s="55">
        <v>1.2</v>
      </c>
      <c r="M482" s="5"/>
      <c r="N482" s="5"/>
      <c r="O482" s="5"/>
      <c r="P482" s="56">
        <v>1.2</v>
      </c>
      <c r="Q482" s="56">
        <v>1.2</v>
      </c>
      <c r="R482" s="64" t="s">
        <v>1006</v>
      </c>
      <c r="S482" s="68" t="s">
        <v>41</v>
      </c>
      <c r="T482" s="4" t="s">
        <v>42</v>
      </c>
      <c r="U482" s="1" t="s">
        <v>159</v>
      </c>
      <c r="V482" s="1"/>
      <c r="W482" s="25" t="s">
        <v>1007</v>
      </c>
    </row>
    <row r="483" spans="1:23" ht="85.5" customHeight="1" x14ac:dyDescent="0.25">
      <c r="A483" s="95" t="s">
        <v>56</v>
      </c>
      <c r="B483" s="24" t="s">
        <v>92</v>
      </c>
      <c r="C483" s="25">
        <v>1172</v>
      </c>
      <c r="D483" s="43" t="s">
        <v>1013</v>
      </c>
      <c r="E483" s="1" t="s">
        <v>1014</v>
      </c>
      <c r="F483" s="25" t="s">
        <v>22</v>
      </c>
      <c r="G483" s="43" t="s">
        <v>35</v>
      </c>
      <c r="H483" s="47" t="s">
        <v>36</v>
      </c>
      <c r="I483" s="43" t="s">
        <v>24</v>
      </c>
      <c r="J483" s="2" t="s">
        <v>11</v>
      </c>
      <c r="K483" s="47" t="s">
        <v>120</v>
      </c>
      <c r="L483" s="57"/>
      <c r="M483" s="3">
        <v>0.01</v>
      </c>
      <c r="N483" s="3">
        <v>0.01</v>
      </c>
      <c r="O483" s="3">
        <v>0.01</v>
      </c>
      <c r="P483" s="56"/>
      <c r="Q483" s="56"/>
      <c r="R483" s="64" t="s">
        <v>1010</v>
      </c>
      <c r="S483" s="68" t="s">
        <v>41</v>
      </c>
      <c r="T483" s="4" t="s">
        <v>42</v>
      </c>
      <c r="U483" s="1" t="s">
        <v>43</v>
      </c>
      <c r="V483" s="1"/>
      <c r="W483" s="25" t="s">
        <v>1007</v>
      </c>
    </row>
    <row r="484" spans="1:23" ht="42.75" customHeight="1" x14ac:dyDescent="0.25">
      <c r="A484" s="95" t="s">
        <v>56</v>
      </c>
      <c r="B484" s="24" t="s">
        <v>92</v>
      </c>
      <c r="C484" s="25">
        <v>1172</v>
      </c>
      <c r="D484" s="43" t="s">
        <v>1015</v>
      </c>
      <c r="E484" s="1" t="s">
        <v>1016</v>
      </c>
      <c r="F484" s="25" t="s">
        <v>26</v>
      </c>
      <c r="G484" s="43" t="s">
        <v>47</v>
      </c>
      <c r="H484" s="47" t="s">
        <v>36</v>
      </c>
      <c r="I484" s="99" t="s">
        <v>37</v>
      </c>
      <c r="J484" s="2" t="s">
        <v>38</v>
      </c>
      <c r="K484" s="47" t="s">
        <v>39</v>
      </c>
      <c r="L484" s="57"/>
      <c r="M484" s="5"/>
      <c r="N484" s="5"/>
      <c r="O484" s="5"/>
      <c r="P484" s="56">
        <v>5.4306786552692277</v>
      </c>
      <c r="Q484" s="56">
        <v>5.4306786552692277</v>
      </c>
      <c r="R484" s="64" t="s">
        <v>1006</v>
      </c>
      <c r="S484" s="68" t="s">
        <v>41</v>
      </c>
      <c r="T484" s="4" t="s">
        <v>42</v>
      </c>
      <c r="U484" s="1" t="s">
        <v>159</v>
      </c>
      <c r="V484" s="1"/>
      <c r="W484" s="25" t="s">
        <v>1007</v>
      </c>
    </row>
    <row r="485" spans="1:23" ht="85.5" customHeight="1" x14ac:dyDescent="0.25">
      <c r="A485" s="95" t="s">
        <v>56</v>
      </c>
      <c r="B485" s="24" t="s">
        <v>92</v>
      </c>
      <c r="C485" s="25">
        <v>1172</v>
      </c>
      <c r="D485" s="43" t="s">
        <v>1017</v>
      </c>
      <c r="E485" s="1" t="s">
        <v>1018</v>
      </c>
      <c r="F485" s="25" t="s">
        <v>26</v>
      </c>
      <c r="G485" s="43" t="s">
        <v>35</v>
      </c>
      <c r="H485" s="47" t="s">
        <v>36</v>
      </c>
      <c r="I485" s="99" t="s">
        <v>37</v>
      </c>
      <c r="J485" s="2" t="s">
        <v>38</v>
      </c>
      <c r="K485" s="47" t="s">
        <v>39</v>
      </c>
      <c r="L485" s="57"/>
      <c r="M485" s="5"/>
      <c r="N485" s="5"/>
      <c r="O485" s="5"/>
      <c r="P485" s="56">
        <v>8.9633955431754862E-3</v>
      </c>
      <c r="Q485" s="56">
        <v>8.9633955431754862E-3</v>
      </c>
      <c r="R485" s="64" t="s">
        <v>1010</v>
      </c>
      <c r="S485" s="68" t="s">
        <v>41</v>
      </c>
      <c r="T485" s="4" t="s">
        <v>42</v>
      </c>
      <c r="U485" s="1" t="s">
        <v>43</v>
      </c>
      <c r="V485" s="1"/>
      <c r="W485" s="25" t="s">
        <v>1007</v>
      </c>
    </row>
    <row r="486" spans="1:23" ht="42.75" customHeight="1" x14ac:dyDescent="0.25">
      <c r="A486" s="95" t="s">
        <v>56</v>
      </c>
      <c r="B486" s="24" t="s">
        <v>92</v>
      </c>
      <c r="C486" s="25">
        <v>1172</v>
      </c>
      <c r="D486" s="43" t="s">
        <v>1019</v>
      </c>
      <c r="E486" s="1" t="s">
        <v>1020</v>
      </c>
      <c r="F486" s="25" t="s">
        <v>26</v>
      </c>
      <c r="G486" s="43" t="s">
        <v>498</v>
      </c>
      <c r="H486" s="47" t="s">
        <v>36</v>
      </c>
      <c r="I486" s="43" t="s">
        <v>397</v>
      </c>
      <c r="J486" s="2" t="s">
        <v>11</v>
      </c>
      <c r="K486" s="47" t="s">
        <v>49</v>
      </c>
      <c r="L486" s="57"/>
      <c r="M486" s="3">
        <v>0.15831894150417797</v>
      </c>
      <c r="N486" s="3">
        <v>0.15831894150417797</v>
      </c>
      <c r="O486" s="3">
        <v>0</v>
      </c>
      <c r="P486" s="56">
        <v>0.15831894150417797</v>
      </c>
      <c r="Q486" s="56">
        <v>0.15831894150417797</v>
      </c>
      <c r="R486" s="64" t="s">
        <v>1006</v>
      </c>
      <c r="S486" s="68" t="s">
        <v>41</v>
      </c>
      <c r="T486" s="4" t="s">
        <v>42</v>
      </c>
      <c r="U486" s="1" t="s">
        <v>43</v>
      </c>
      <c r="V486" s="1"/>
      <c r="W486" s="25" t="s">
        <v>1021</v>
      </c>
    </row>
    <row r="487" spans="1:23" ht="42.75" customHeight="1" x14ac:dyDescent="0.25">
      <c r="A487" s="95" t="s">
        <v>56</v>
      </c>
      <c r="B487" s="24" t="s">
        <v>92</v>
      </c>
      <c r="C487" s="25">
        <v>1172</v>
      </c>
      <c r="D487" s="43" t="s">
        <v>1022</v>
      </c>
      <c r="E487" s="1" t="s">
        <v>1023</v>
      </c>
      <c r="F487" s="25" t="s">
        <v>22</v>
      </c>
      <c r="G487" s="43" t="s">
        <v>47</v>
      </c>
      <c r="H487" s="47" t="s">
        <v>36</v>
      </c>
      <c r="I487" s="43" t="s">
        <v>117</v>
      </c>
      <c r="J487" s="2" t="s">
        <v>10</v>
      </c>
      <c r="K487" s="47" t="s">
        <v>120</v>
      </c>
      <c r="L487" s="55">
        <v>2.2282159341949437</v>
      </c>
      <c r="M487" s="5"/>
      <c r="N487" s="5"/>
      <c r="O487" s="5"/>
      <c r="P487" s="56">
        <v>2.2282159341949437</v>
      </c>
      <c r="Q487" s="56">
        <v>2.2282159341949437</v>
      </c>
      <c r="R487" s="64" t="s">
        <v>1006</v>
      </c>
      <c r="S487" s="68" t="s">
        <v>41</v>
      </c>
      <c r="T487" s="4" t="s">
        <v>42</v>
      </c>
      <c r="U487" s="1" t="s">
        <v>159</v>
      </c>
      <c r="V487" s="1"/>
      <c r="W487" s="25" t="s">
        <v>1007</v>
      </c>
    </row>
    <row r="488" spans="1:23" ht="85.5" customHeight="1" x14ac:dyDescent="0.25">
      <c r="A488" s="95" t="s">
        <v>56</v>
      </c>
      <c r="B488" s="24" t="s">
        <v>92</v>
      </c>
      <c r="C488" s="25">
        <v>1172</v>
      </c>
      <c r="D488" s="43" t="s">
        <v>1024</v>
      </c>
      <c r="E488" s="1" t="s">
        <v>1025</v>
      </c>
      <c r="F488" s="25" t="s">
        <v>22</v>
      </c>
      <c r="G488" s="43" t="s">
        <v>35</v>
      </c>
      <c r="H488" s="47" t="s">
        <v>36</v>
      </c>
      <c r="I488" s="43" t="s">
        <v>24</v>
      </c>
      <c r="J488" s="2" t="s">
        <v>11</v>
      </c>
      <c r="K488" s="47" t="s">
        <v>120</v>
      </c>
      <c r="L488" s="57"/>
      <c r="M488" s="3">
        <v>0.01</v>
      </c>
      <c r="N488" s="3">
        <v>0.01</v>
      </c>
      <c r="O488" s="3">
        <v>0.01</v>
      </c>
      <c r="P488" s="56"/>
      <c r="Q488" s="56"/>
      <c r="R488" s="64" t="s">
        <v>1010</v>
      </c>
      <c r="S488" s="68" t="s">
        <v>41</v>
      </c>
      <c r="T488" s="4" t="s">
        <v>42</v>
      </c>
      <c r="U488" s="1" t="s">
        <v>43</v>
      </c>
      <c r="V488" s="1"/>
      <c r="W488" s="25" t="s">
        <v>1007</v>
      </c>
    </row>
    <row r="489" spans="1:23" ht="42.75" customHeight="1" x14ac:dyDescent="0.25">
      <c r="A489" s="95" t="s">
        <v>56</v>
      </c>
      <c r="B489" s="24" t="s">
        <v>92</v>
      </c>
      <c r="C489" s="25">
        <v>1172</v>
      </c>
      <c r="D489" s="43" t="s">
        <v>1026</v>
      </c>
      <c r="E489" s="1" t="s">
        <v>1027</v>
      </c>
      <c r="F489" s="25" t="s">
        <v>22</v>
      </c>
      <c r="G489" s="43" t="s">
        <v>47</v>
      </c>
      <c r="H489" s="47" t="s">
        <v>36</v>
      </c>
      <c r="I489" s="43" t="s">
        <v>117</v>
      </c>
      <c r="J489" s="2" t="s">
        <v>10</v>
      </c>
      <c r="K489" s="47" t="s">
        <v>120</v>
      </c>
      <c r="L489" s="55">
        <v>0.3741654837728785</v>
      </c>
      <c r="M489" s="5"/>
      <c r="N489" s="5"/>
      <c r="O489" s="5"/>
      <c r="P489" s="56">
        <v>0.3741654837728785</v>
      </c>
      <c r="Q489" s="56">
        <v>0.3741654837728785</v>
      </c>
      <c r="R489" s="64" t="s">
        <v>1006</v>
      </c>
      <c r="S489" s="68" t="s">
        <v>41</v>
      </c>
      <c r="T489" s="4" t="s">
        <v>42</v>
      </c>
      <c r="U489" s="1" t="s">
        <v>159</v>
      </c>
      <c r="V489" s="1"/>
      <c r="W489" s="25" t="s">
        <v>1007</v>
      </c>
    </row>
    <row r="490" spans="1:23" ht="85.5" customHeight="1" x14ac:dyDescent="0.25">
      <c r="A490" s="95" t="s">
        <v>56</v>
      </c>
      <c r="B490" s="24" t="s">
        <v>92</v>
      </c>
      <c r="C490" s="25">
        <v>1172</v>
      </c>
      <c r="D490" s="43" t="s">
        <v>1028</v>
      </c>
      <c r="E490" s="1" t="s">
        <v>1029</v>
      </c>
      <c r="F490" s="25" t="s">
        <v>22</v>
      </c>
      <c r="G490" s="43" t="s">
        <v>35</v>
      </c>
      <c r="H490" s="47" t="s">
        <v>36</v>
      </c>
      <c r="I490" s="43" t="s">
        <v>24</v>
      </c>
      <c r="J490" s="2" t="s">
        <v>11</v>
      </c>
      <c r="K490" s="47" t="s">
        <v>120</v>
      </c>
      <c r="L490" s="57"/>
      <c r="M490" s="3">
        <v>0.01</v>
      </c>
      <c r="N490" s="3">
        <v>0.01</v>
      </c>
      <c r="O490" s="3">
        <v>0.01</v>
      </c>
      <c r="P490" s="56"/>
      <c r="Q490" s="56"/>
      <c r="R490" s="64" t="s">
        <v>1010</v>
      </c>
      <c r="S490" s="68" t="s">
        <v>41</v>
      </c>
      <c r="T490" s="4" t="s">
        <v>42</v>
      </c>
      <c r="U490" s="1" t="s">
        <v>43</v>
      </c>
      <c r="V490" s="1"/>
      <c r="W490" s="25" t="s">
        <v>1007</v>
      </c>
    </row>
    <row r="491" spans="1:23" ht="28.5" customHeight="1" x14ac:dyDescent="0.25">
      <c r="A491" s="95" t="s">
        <v>56</v>
      </c>
      <c r="B491" s="24" t="s">
        <v>92</v>
      </c>
      <c r="C491" s="25">
        <v>1172</v>
      </c>
      <c r="D491" s="43" t="s">
        <v>1030</v>
      </c>
      <c r="E491" s="1" t="s">
        <v>1031</v>
      </c>
      <c r="F491" s="25" t="s">
        <v>26</v>
      </c>
      <c r="G491" s="43" t="s">
        <v>47</v>
      </c>
      <c r="H491" s="47" t="s">
        <v>36</v>
      </c>
      <c r="I491" s="99" t="s">
        <v>37</v>
      </c>
      <c r="J491" s="2" t="s">
        <v>38</v>
      </c>
      <c r="K491" s="47" t="s">
        <v>39</v>
      </c>
      <c r="L491" s="57"/>
      <c r="M491" s="5"/>
      <c r="N491" s="5"/>
      <c r="O491" s="5"/>
      <c r="P491" s="56">
        <v>1.0094707520891366</v>
      </c>
      <c r="Q491" s="56">
        <v>1.0094707520891366</v>
      </c>
      <c r="R491" s="64" t="s">
        <v>1056</v>
      </c>
      <c r="S491" s="68" t="s">
        <v>41</v>
      </c>
      <c r="T491" s="4" t="s">
        <v>42</v>
      </c>
      <c r="U491" s="1" t="s">
        <v>159</v>
      </c>
      <c r="V491" s="1"/>
      <c r="W491" s="25" t="s">
        <v>1007</v>
      </c>
    </row>
    <row r="492" spans="1:23" ht="71.25" customHeight="1" x14ac:dyDescent="0.25">
      <c r="A492" s="95" t="s">
        <v>56</v>
      </c>
      <c r="B492" s="24" t="s">
        <v>92</v>
      </c>
      <c r="C492" s="25">
        <v>1172</v>
      </c>
      <c r="D492" s="43" t="s">
        <v>1032</v>
      </c>
      <c r="E492" s="1" t="s">
        <v>1033</v>
      </c>
      <c r="F492" s="25" t="s">
        <v>26</v>
      </c>
      <c r="G492" s="43" t="s">
        <v>35</v>
      </c>
      <c r="H492" s="47" t="s">
        <v>36</v>
      </c>
      <c r="I492" s="99" t="s">
        <v>37</v>
      </c>
      <c r="J492" s="2" t="s">
        <v>38</v>
      </c>
      <c r="K492" s="47" t="s">
        <v>39</v>
      </c>
      <c r="L492" s="57"/>
      <c r="M492" s="5"/>
      <c r="N492" s="5"/>
      <c r="O492" s="5"/>
      <c r="P492" s="56">
        <v>0.01</v>
      </c>
      <c r="Q492" s="56">
        <v>0.01</v>
      </c>
      <c r="R492" s="64" t="s">
        <v>1057</v>
      </c>
      <c r="S492" s="68" t="s">
        <v>41</v>
      </c>
      <c r="T492" s="4" t="s">
        <v>42</v>
      </c>
      <c r="U492" s="1" t="s">
        <v>43</v>
      </c>
      <c r="V492" s="1"/>
      <c r="W492" s="25" t="s">
        <v>1007</v>
      </c>
    </row>
    <row r="493" spans="1:23" ht="57" customHeight="1" x14ac:dyDescent="0.25">
      <c r="A493" s="95" t="s">
        <v>56</v>
      </c>
      <c r="B493" s="24" t="s">
        <v>92</v>
      </c>
      <c r="C493" s="25">
        <v>1172</v>
      </c>
      <c r="D493" s="43" t="s">
        <v>1034</v>
      </c>
      <c r="E493" s="1" t="s">
        <v>1035</v>
      </c>
      <c r="F493" s="25" t="s">
        <v>22</v>
      </c>
      <c r="G493" s="43" t="s">
        <v>242</v>
      </c>
      <c r="H493" s="47" t="s">
        <v>39</v>
      </c>
      <c r="I493" s="43" t="s">
        <v>28</v>
      </c>
      <c r="J493" s="2" t="s">
        <v>38</v>
      </c>
      <c r="K493" s="47" t="s">
        <v>39</v>
      </c>
      <c r="L493" s="57"/>
      <c r="M493" s="5"/>
      <c r="N493" s="5"/>
      <c r="O493" s="5"/>
      <c r="P493" s="56"/>
      <c r="Q493" s="56"/>
      <c r="R493" s="64" t="s">
        <v>1056</v>
      </c>
      <c r="S493" s="68" t="s">
        <v>41</v>
      </c>
      <c r="T493" s="4" t="s">
        <v>42</v>
      </c>
      <c r="U493" s="1" t="s">
        <v>43</v>
      </c>
      <c r="V493" s="1"/>
      <c r="W493" s="25" t="s">
        <v>1036</v>
      </c>
    </row>
    <row r="494" spans="1:23" ht="57" customHeight="1" x14ac:dyDescent="0.25">
      <c r="A494" s="95" t="s">
        <v>56</v>
      </c>
      <c r="B494" s="24" t="s">
        <v>92</v>
      </c>
      <c r="C494" s="25">
        <v>1172</v>
      </c>
      <c r="D494" s="43" t="s">
        <v>1037</v>
      </c>
      <c r="E494" s="1" t="s">
        <v>1038</v>
      </c>
      <c r="F494" s="25" t="s">
        <v>22</v>
      </c>
      <c r="G494" s="43" t="s">
        <v>140</v>
      </c>
      <c r="H494" s="47" t="s">
        <v>39</v>
      </c>
      <c r="I494" s="43" t="s">
        <v>28</v>
      </c>
      <c r="J494" s="2" t="s">
        <v>38</v>
      </c>
      <c r="K494" s="47" t="s">
        <v>39</v>
      </c>
      <c r="L494" s="57"/>
      <c r="M494" s="5"/>
      <c r="N494" s="5"/>
      <c r="O494" s="5"/>
      <c r="P494" s="56"/>
      <c r="Q494" s="56"/>
      <c r="R494" s="64" t="s">
        <v>1056</v>
      </c>
      <c r="S494" s="68" t="s">
        <v>41</v>
      </c>
      <c r="T494" s="4" t="s">
        <v>42</v>
      </c>
      <c r="U494" s="1" t="s">
        <v>43</v>
      </c>
      <c r="V494" s="1"/>
      <c r="W494" s="25" t="s">
        <v>1036</v>
      </c>
    </row>
    <row r="495" spans="1:23" ht="57" customHeight="1" x14ac:dyDescent="0.25">
      <c r="A495" s="95" t="s">
        <v>56</v>
      </c>
      <c r="B495" s="24" t="s">
        <v>92</v>
      </c>
      <c r="C495" s="25">
        <v>1172</v>
      </c>
      <c r="D495" s="43" t="s">
        <v>1039</v>
      </c>
      <c r="E495" s="1" t="s">
        <v>1040</v>
      </c>
      <c r="F495" s="25" t="s">
        <v>26</v>
      </c>
      <c r="G495" s="43" t="s">
        <v>29</v>
      </c>
      <c r="H495" s="47" t="s">
        <v>39</v>
      </c>
      <c r="I495" s="43" t="s">
        <v>28</v>
      </c>
      <c r="J495" s="2" t="s">
        <v>38</v>
      </c>
      <c r="K495" s="47" t="s">
        <v>39</v>
      </c>
      <c r="L495" s="57"/>
      <c r="M495" s="5"/>
      <c r="N495" s="5"/>
      <c r="O495" s="5"/>
      <c r="P495" s="56"/>
      <c r="Q495" s="56"/>
      <c r="R495" s="64" t="s">
        <v>1056</v>
      </c>
      <c r="S495" s="68" t="s">
        <v>41</v>
      </c>
      <c r="T495" s="4" t="s">
        <v>42</v>
      </c>
      <c r="U495" s="1" t="s">
        <v>43</v>
      </c>
      <c r="V495" s="1"/>
      <c r="W495" s="25" t="s">
        <v>1036</v>
      </c>
    </row>
    <row r="496" spans="1:23" ht="57" customHeight="1" x14ac:dyDescent="0.25">
      <c r="A496" s="95" t="s">
        <v>56</v>
      </c>
      <c r="B496" s="24" t="s">
        <v>92</v>
      </c>
      <c r="C496" s="25">
        <v>1172</v>
      </c>
      <c r="D496" s="43" t="s">
        <v>1041</v>
      </c>
      <c r="E496" s="1" t="s">
        <v>1042</v>
      </c>
      <c r="F496" s="25" t="s">
        <v>26</v>
      </c>
      <c r="G496" s="43" t="s">
        <v>27</v>
      </c>
      <c r="H496" s="47" t="s">
        <v>39</v>
      </c>
      <c r="I496" s="43" t="s">
        <v>28</v>
      </c>
      <c r="J496" s="2" t="s">
        <v>38</v>
      </c>
      <c r="K496" s="47" t="s">
        <v>39</v>
      </c>
      <c r="L496" s="57"/>
      <c r="M496" s="5"/>
      <c r="N496" s="5"/>
      <c r="O496" s="5"/>
      <c r="P496" s="56"/>
      <c r="Q496" s="56"/>
      <c r="R496" s="64" t="s">
        <v>1056</v>
      </c>
      <c r="S496" s="68" t="s">
        <v>41</v>
      </c>
      <c r="T496" s="4" t="s">
        <v>42</v>
      </c>
      <c r="U496" s="1" t="s">
        <v>43</v>
      </c>
      <c r="V496" s="1"/>
      <c r="W496" s="25" t="s">
        <v>1036</v>
      </c>
    </row>
    <row r="497" spans="1:23" ht="57" customHeight="1" x14ac:dyDescent="0.25">
      <c r="A497" s="95" t="s">
        <v>56</v>
      </c>
      <c r="B497" s="24" t="s">
        <v>92</v>
      </c>
      <c r="C497" s="25">
        <v>1172</v>
      </c>
      <c r="D497" s="43" t="s">
        <v>1043</v>
      </c>
      <c r="E497" s="1" t="s">
        <v>1044</v>
      </c>
      <c r="F497" s="25" t="s">
        <v>26</v>
      </c>
      <c r="G497" s="43" t="s">
        <v>356</v>
      </c>
      <c r="H497" s="47" t="s">
        <v>39</v>
      </c>
      <c r="I497" s="43" t="s">
        <v>245</v>
      </c>
      <c r="J497" s="2" t="s">
        <v>38</v>
      </c>
      <c r="K497" s="47" t="s">
        <v>39</v>
      </c>
      <c r="L497" s="57"/>
      <c r="M497" s="5"/>
      <c r="N497" s="5"/>
      <c r="O497" s="5"/>
      <c r="P497" s="56"/>
      <c r="Q497" s="56"/>
      <c r="R497" s="64" t="s">
        <v>1056</v>
      </c>
      <c r="S497" s="68" t="s">
        <v>41</v>
      </c>
      <c r="T497" s="4" t="s">
        <v>42</v>
      </c>
      <c r="U497" s="1" t="s">
        <v>43</v>
      </c>
      <c r="V497" s="1"/>
      <c r="W497" s="25" t="s">
        <v>1036</v>
      </c>
    </row>
    <row r="498" spans="1:23" ht="57" customHeight="1" x14ac:dyDescent="0.25">
      <c r="A498" s="95" t="s">
        <v>56</v>
      </c>
      <c r="B498" s="24" t="s">
        <v>92</v>
      </c>
      <c r="C498" s="25">
        <v>1172</v>
      </c>
      <c r="D498" s="43" t="s">
        <v>1043</v>
      </c>
      <c r="E498" s="1" t="s">
        <v>1045</v>
      </c>
      <c r="F498" s="25" t="s">
        <v>26</v>
      </c>
      <c r="G498" s="43" t="s">
        <v>161</v>
      </c>
      <c r="H498" s="47" t="s">
        <v>39</v>
      </c>
      <c r="I498" s="43" t="s">
        <v>245</v>
      </c>
      <c r="J498" s="2" t="s">
        <v>38</v>
      </c>
      <c r="K498" s="47" t="s">
        <v>39</v>
      </c>
      <c r="L498" s="57"/>
      <c r="M498" s="5"/>
      <c r="N498" s="5"/>
      <c r="O498" s="5"/>
      <c r="P498" s="56"/>
      <c r="Q498" s="56"/>
      <c r="R498" s="64" t="s">
        <v>1056</v>
      </c>
      <c r="S498" s="68" t="s">
        <v>41</v>
      </c>
      <c r="T498" s="4" t="s">
        <v>42</v>
      </c>
      <c r="U498" s="1" t="s">
        <v>43</v>
      </c>
      <c r="V498" s="1"/>
      <c r="W498" s="25" t="s">
        <v>1036</v>
      </c>
    </row>
    <row r="499" spans="1:23" ht="57" customHeight="1" x14ac:dyDescent="0.25">
      <c r="A499" s="95" t="s">
        <v>56</v>
      </c>
      <c r="B499" s="24" t="s">
        <v>92</v>
      </c>
      <c r="C499" s="25">
        <v>1172</v>
      </c>
      <c r="D499" s="43" t="s">
        <v>1046</v>
      </c>
      <c r="E499" s="1" t="s">
        <v>1047</v>
      </c>
      <c r="F499" s="25" t="s">
        <v>26</v>
      </c>
      <c r="G499" s="43" t="s">
        <v>166</v>
      </c>
      <c r="H499" s="47" t="s">
        <v>39</v>
      </c>
      <c r="I499" s="43" t="s">
        <v>245</v>
      </c>
      <c r="J499" s="2" t="s">
        <v>38</v>
      </c>
      <c r="K499" s="47" t="s">
        <v>39</v>
      </c>
      <c r="L499" s="57"/>
      <c r="M499" s="5"/>
      <c r="N499" s="5"/>
      <c r="O499" s="5"/>
      <c r="P499" s="56"/>
      <c r="Q499" s="56"/>
      <c r="R499" s="64" t="s">
        <v>1056</v>
      </c>
      <c r="S499" s="68" t="s">
        <v>41</v>
      </c>
      <c r="T499" s="4" t="s">
        <v>42</v>
      </c>
      <c r="U499" s="1" t="s">
        <v>43</v>
      </c>
      <c r="V499" s="1"/>
      <c r="W499" s="25" t="s">
        <v>1036</v>
      </c>
    </row>
    <row r="500" spans="1:23" ht="57" customHeight="1" x14ac:dyDescent="0.25">
      <c r="A500" s="95" t="s">
        <v>56</v>
      </c>
      <c r="B500" s="24" t="s">
        <v>92</v>
      </c>
      <c r="C500" s="25">
        <v>1172</v>
      </c>
      <c r="D500" s="43" t="s">
        <v>1048</v>
      </c>
      <c r="E500" s="1" t="s">
        <v>1049</v>
      </c>
      <c r="F500" s="25" t="s">
        <v>26</v>
      </c>
      <c r="G500" s="43" t="s">
        <v>183</v>
      </c>
      <c r="H500" s="47" t="s">
        <v>39</v>
      </c>
      <c r="I500" s="43" t="s">
        <v>30</v>
      </c>
      <c r="J500" s="2" t="s">
        <v>38</v>
      </c>
      <c r="K500" s="47" t="s">
        <v>39</v>
      </c>
      <c r="L500" s="57"/>
      <c r="M500" s="5"/>
      <c r="N500" s="5"/>
      <c r="O500" s="5"/>
      <c r="P500" s="56"/>
      <c r="Q500" s="56"/>
      <c r="R500" s="64" t="s">
        <v>1056</v>
      </c>
      <c r="S500" s="68" t="s">
        <v>41</v>
      </c>
      <c r="T500" s="4" t="s">
        <v>42</v>
      </c>
      <c r="U500" s="1" t="s">
        <v>43</v>
      </c>
      <c r="V500" s="1"/>
      <c r="W500" s="25" t="s">
        <v>1036</v>
      </c>
    </row>
    <row r="501" spans="1:23" ht="71.25" customHeight="1" x14ac:dyDescent="0.25">
      <c r="A501" s="95" t="s">
        <v>56</v>
      </c>
      <c r="B501" s="24" t="s">
        <v>92</v>
      </c>
      <c r="C501" s="25">
        <v>1172</v>
      </c>
      <c r="D501" s="43" t="s">
        <v>1050</v>
      </c>
      <c r="E501" s="1" t="s">
        <v>1051</v>
      </c>
      <c r="F501" s="25" t="s">
        <v>26</v>
      </c>
      <c r="G501" s="43" t="s">
        <v>566</v>
      </c>
      <c r="H501" s="47" t="s">
        <v>39</v>
      </c>
      <c r="I501" s="43" t="s">
        <v>37</v>
      </c>
      <c r="J501" s="2" t="s">
        <v>38</v>
      </c>
      <c r="K501" s="47" t="s">
        <v>39</v>
      </c>
      <c r="L501" s="57"/>
      <c r="M501" s="5"/>
      <c r="N501" s="5"/>
      <c r="O501" s="5"/>
      <c r="P501" s="56"/>
      <c r="Q501" s="56"/>
      <c r="R501" s="64" t="s">
        <v>1056</v>
      </c>
      <c r="S501" s="68" t="s">
        <v>41</v>
      </c>
      <c r="T501" s="4" t="s">
        <v>42</v>
      </c>
      <c r="U501" s="1" t="s">
        <v>43</v>
      </c>
      <c r="V501" s="1"/>
      <c r="W501" s="25" t="s">
        <v>1036</v>
      </c>
    </row>
    <row r="502" spans="1:23" ht="57" customHeight="1" x14ac:dyDescent="0.25">
      <c r="A502" s="95" t="s">
        <v>56</v>
      </c>
      <c r="B502" s="24" t="s">
        <v>92</v>
      </c>
      <c r="C502" s="25">
        <v>1172</v>
      </c>
      <c r="D502" s="43" t="s">
        <v>1052</v>
      </c>
      <c r="E502" s="1" t="s">
        <v>1053</v>
      </c>
      <c r="F502" s="25" t="s">
        <v>26</v>
      </c>
      <c r="G502" s="43" t="s">
        <v>566</v>
      </c>
      <c r="H502" s="47" t="s">
        <v>39</v>
      </c>
      <c r="I502" s="43" t="s">
        <v>37</v>
      </c>
      <c r="J502" s="2" t="s">
        <v>38</v>
      </c>
      <c r="K502" s="47" t="s">
        <v>39</v>
      </c>
      <c r="L502" s="57"/>
      <c r="M502" s="5"/>
      <c r="N502" s="5"/>
      <c r="O502" s="5"/>
      <c r="P502" s="56"/>
      <c r="Q502" s="56"/>
      <c r="R502" s="64" t="s">
        <v>1056</v>
      </c>
      <c r="S502" s="68" t="s">
        <v>41</v>
      </c>
      <c r="T502" s="4" t="s">
        <v>42</v>
      </c>
      <c r="U502" s="1" t="s">
        <v>43</v>
      </c>
      <c r="V502" s="1"/>
      <c r="W502" s="25" t="s">
        <v>1036</v>
      </c>
    </row>
    <row r="503" spans="1:23" ht="72" customHeight="1" thickBot="1" x14ac:dyDescent="0.3">
      <c r="A503" s="96" t="s">
        <v>56</v>
      </c>
      <c r="B503" s="26" t="s">
        <v>92</v>
      </c>
      <c r="C503" s="32">
        <v>1172</v>
      </c>
      <c r="D503" s="44" t="s">
        <v>1054</v>
      </c>
      <c r="E503" s="27" t="s">
        <v>1055</v>
      </c>
      <c r="F503" s="32" t="s">
        <v>26</v>
      </c>
      <c r="G503" s="44" t="s">
        <v>566</v>
      </c>
      <c r="H503" s="48" t="s">
        <v>39</v>
      </c>
      <c r="I503" s="97" t="s">
        <v>37</v>
      </c>
      <c r="J503" s="28" t="s">
        <v>38</v>
      </c>
      <c r="K503" s="48" t="s">
        <v>39</v>
      </c>
      <c r="L503" s="58"/>
      <c r="M503" s="29"/>
      <c r="N503" s="29"/>
      <c r="O503" s="29"/>
      <c r="P503" s="59"/>
      <c r="Q503" s="59"/>
      <c r="R503" s="65" t="s">
        <v>1056</v>
      </c>
      <c r="S503" s="69" t="s">
        <v>41</v>
      </c>
      <c r="T503" s="31" t="s">
        <v>42</v>
      </c>
      <c r="U503" s="27" t="s">
        <v>43</v>
      </c>
      <c r="V503" s="27"/>
      <c r="W503" s="32" t="s">
        <v>1036</v>
      </c>
    </row>
    <row r="504" spans="1:23" ht="57" customHeight="1" x14ac:dyDescent="0.25">
      <c r="A504" s="94" t="s">
        <v>56</v>
      </c>
      <c r="B504" s="18" t="s">
        <v>223</v>
      </c>
      <c r="C504" s="72">
        <v>1341</v>
      </c>
      <c r="D504" s="42" t="s">
        <v>745</v>
      </c>
      <c r="E504" s="19" t="s">
        <v>1058</v>
      </c>
      <c r="F504" s="23" t="s">
        <v>26</v>
      </c>
      <c r="G504" s="42" t="s">
        <v>155</v>
      </c>
      <c r="H504" s="46" t="s">
        <v>39</v>
      </c>
      <c r="I504" s="42" t="s">
        <v>37</v>
      </c>
      <c r="J504" s="20" t="s">
        <v>38</v>
      </c>
      <c r="K504" s="46" t="s">
        <v>39</v>
      </c>
      <c r="L504" s="53"/>
      <c r="M504" s="21"/>
      <c r="N504" s="21"/>
      <c r="O504" s="21"/>
      <c r="P504" s="54">
        <v>5</v>
      </c>
      <c r="Q504" s="54">
        <v>5</v>
      </c>
      <c r="R504" s="63" t="s">
        <v>1059</v>
      </c>
      <c r="S504" s="67" t="s">
        <v>410</v>
      </c>
      <c r="T504" s="22" t="s">
        <v>411</v>
      </c>
      <c r="U504" s="19" t="s">
        <v>159</v>
      </c>
      <c r="V504" s="19" t="s">
        <v>37</v>
      </c>
      <c r="W504" s="23"/>
    </row>
    <row r="505" spans="1:23" ht="72" customHeight="1" x14ac:dyDescent="0.25">
      <c r="A505" s="95" t="s">
        <v>56</v>
      </c>
      <c r="B505" s="24" t="s">
        <v>223</v>
      </c>
      <c r="C505" s="73">
        <v>1341</v>
      </c>
      <c r="D505" s="43" t="s">
        <v>745</v>
      </c>
      <c r="E505" s="90" t="s">
        <v>1194</v>
      </c>
      <c r="F505" s="25" t="s">
        <v>26</v>
      </c>
      <c r="G505" s="43" t="s">
        <v>155</v>
      </c>
      <c r="H505" s="47" t="s">
        <v>39</v>
      </c>
      <c r="I505" s="43" t="s">
        <v>37</v>
      </c>
      <c r="J505" s="2" t="s">
        <v>38</v>
      </c>
      <c r="K505" s="47" t="s">
        <v>39</v>
      </c>
      <c r="L505" s="57"/>
      <c r="M505" s="5"/>
      <c r="N505" s="5"/>
      <c r="O505" s="5"/>
      <c r="P505" s="56">
        <v>5</v>
      </c>
      <c r="Q505" s="56">
        <v>5</v>
      </c>
      <c r="R505" s="64" t="s">
        <v>1060</v>
      </c>
      <c r="S505" s="68" t="s">
        <v>410</v>
      </c>
      <c r="T505" s="4" t="s">
        <v>411</v>
      </c>
      <c r="U505" s="1" t="s">
        <v>159</v>
      </c>
      <c r="V505" s="1" t="s">
        <v>134</v>
      </c>
      <c r="W505" s="25"/>
    </row>
    <row r="506" spans="1:23" ht="57" customHeight="1" x14ac:dyDescent="0.25">
      <c r="A506" s="95" t="s">
        <v>56</v>
      </c>
      <c r="B506" s="24" t="s">
        <v>223</v>
      </c>
      <c r="C506" s="73">
        <v>1341</v>
      </c>
      <c r="D506" s="43" t="s">
        <v>78</v>
      </c>
      <c r="E506" s="1" t="s">
        <v>1061</v>
      </c>
      <c r="F506" s="25" t="s">
        <v>46</v>
      </c>
      <c r="G506" s="43" t="s">
        <v>155</v>
      </c>
      <c r="H506" s="47" t="s">
        <v>39</v>
      </c>
      <c r="I506" s="43" t="s">
        <v>37</v>
      </c>
      <c r="J506" s="2" t="s">
        <v>38</v>
      </c>
      <c r="K506" s="47" t="s">
        <v>39</v>
      </c>
      <c r="L506" s="57"/>
      <c r="M506" s="5"/>
      <c r="N506" s="5"/>
      <c r="O506" s="5"/>
      <c r="P506" s="56">
        <v>5</v>
      </c>
      <c r="Q506" s="56">
        <v>5</v>
      </c>
      <c r="R506" s="64" t="s">
        <v>1062</v>
      </c>
      <c r="S506" s="68" t="s">
        <v>410</v>
      </c>
      <c r="T506" s="4" t="s">
        <v>411</v>
      </c>
      <c r="U506" s="1" t="s">
        <v>159</v>
      </c>
      <c r="V506" s="1" t="s">
        <v>48</v>
      </c>
      <c r="W506" s="25"/>
    </row>
    <row r="507" spans="1:23" ht="57.75" customHeight="1" thickBot="1" x14ac:dyDescent="0.3">
      <c r="A507" s="96" t="s">
        <v>56</v>
      </c>
      <c r="B507" s="26" t="s">
        <v>223</v>
      </c>
      <c r="C507" s="74">
        <v>1215</v>
      </c>
      <c r="D507" s="44" t="s">
        <v>78</v>
      </c>
      <c r="E507" s="27" t="s">
        <v>1061</v>
      </c>
      <c r="F507" s="32" t="s">
        <v>46</v>
      </c>
      <c r="G507" s="44" t="s">
        <v>155</v>
      </c>
      <c r="H507" s="48" t="s">
        <v>39</v>
      </c>
      <c r="I507" s="44" t="s">
        <v>37</v>
      </c>
      <c r="J507" s="28" t="s">
        <v>38</v>
      </c>
      <c r="K507" s="48" t="s">
        <v>39</v>
      </c>
      <c r="L507" s="58"/>
      <c r="M507" s="29"/>
      <c r="N507" s="29"/>
      <c r="O507" s="29"/>
      <c r="P507" s="59">
        <v>5</v>
      </c>
      <c r="Q507" s="59">
        <v>5</v>
      </c>
      <c r="R507" s="65" t="s">
        <v>1062</v>
      </c>
      <c r="S507" s="69" t="s">
        <v>410</v>
      </c>
      <c r="T507" s="31" t="s">
        <v>411</v>
      </c>
      <c r="U507" s="27" t="s">
        <v>159</v>
      </c>
      <c r="V507" s="27" t="s">
        <v>48</v>
      </c>
      <c r="W507" s="32"/>
    </row>
    <row r="508" spans="1:23" ht="399" customHeight="1" x14ac:dyDescent="0.25">
      <c r="A508" s="94" t="s">
        <v>56</v>
      </c>
      <c r="B508" s="18" t="s">
        <v>222</v>
      </c>
      <c r="C508" s="23">
        <v>2316</v>
      </c>
      <c r="D508" s="42" t="s">
        <v>741</v>
      </c>
      <c r="E508" s="19" t="s">
        <v>1064</v>
      </c>
      <c r="F508" s="23" t="s">
        <v>26</v>
      </c>
      <c r="G508" s="42" t="s">
        <v>27</v>
      </c>
      <c r="H508" s="46" t="s">
        <v>39</v>
      </c>
      <c r="I508" s="42" t="s">
        <v>28</v>
      </c>
      <c r="J508" s="20" t="s">
        <v>38</v>
      </c>
      <c r="K508" s="46" t="s">
        <v>39</v>
      </c>
      <c r="L508" s="53"/>
      <c r="M508" s="21"/>
      <c r="N508" s="21"/>
      <c r="O508" s="21"/>
      <c r="P508" s="54"/>
      <c r="Q508" s="54"/>
      <c r="R508" s="63"/>
      <c r="S508" s="67" t="s">
        <v>41</v>
      </c>
      <c r="T508" s="22" t="s">
        <v>42</v>
      </c>
      <c r="U508" s="19" t="s">
        <v>43</v>
      </c>
      <c r="V508" s="19" t="s">
        <v>25</v>
      </c>
      <c r="W508" s="23">
        <v>518150</v>
      </c>
    </row>
    <row r="509" spans="1:23" ht="128.25" customHeight="1" x14ac:dyDescent="0.25">
      <c r="A509" s="95" t="s">
        <v>56</v>
      </c>
      <c r="B509" s="24" t="s">
        <v>222</v>
      </c>
      <c r="C509" s="25">
        <v>2316</v>
      </c>
      <c r="D509" s="43" t="s">
        <v>747</v>
      </c>
      <c r="E509" s="1" t="s">
        <v>1065</v>
      </c>
      <c r="F509" s="25" t="s">
        <v>26</v>
      </c>
      <c r="G509" s="43" t="s">
        <v>356</v>
      </c>
      <c r="H509" s="47" t="s">
        <v>39</v>
      </c>
      <c r="I509" s="43" t="s">
        <v>245</v>
      </c>
      <c r="J509" s="2" t="s">
        <v>38</v>
      </c>
      <c r="K509" s="47" t="s">
        <v>39</v>
      </c>
      <c r="L509" s="57"/>
      <c r="M509" s="5"/>
      <c r="N509" s="5"/>
      <c r="O509" s="5"/>
      <c r="P509" s="56"/>
      <c r="Q509" s="56"/>
      <c r="R509" s="64"/>
      <c r="S509" s="68" t="s">
        <v>41</v>
      </c>
      <c r="T509" s="4" t="s">
        <v>42</v>
      </c>
      <c r="U509" s="1" t="s">
        <v>43</v>
      </c>
      <c r="V509" s="1" t="s">
        <v>25</v>
      </c>
      <c r="W509" s="25">
        <v>518520</v>
      </c>
    </row>
    <row r="510" spans="1:23" ht="99.75" customHeight="1" x14ac:dyDescent="0.25">
      <c r="A510" s="95" t="s">
        <v>56</v>
      </c>
      <c r="B510" s="24" t="s">
        <v>222</v>
      </c>
      <c r="C510" s="25">
        <v>2316</v>
      </c>
      <c r="D510" s="43" t="s">
        <v>1066</v>
      </c>
      <c r="E510" s="1" t="s">
        <v>783</v>
      </c>
      <c r="F510" s="25" t="s">
        <v>26</v>
      </c>
      <c r="G510" s="43" t="s">
        <v>166</v>
      </c>
      <c r="H510" s="47" t="s">
        <v>39</v>
      </c>
      <c r="I510" s="43" t="s">
        <v>247</v>
      </c>
      <c r="J510" s="2" t="s">
        <v>38</v>
      </c>
      <c r="K510" s="47" t="s">
        <v>39</v>
      </c>
      <c r="L510" s="57"/>
      <c r="M510" s="5"/>
      <c r="N510" s="5"/>
      <c r="O510" s="5"/>
      <c r="P510" s="56"/>
      <c r="Q510" s="56"/>
      <c r="R510" s="64"/>
      <c r="S510" s="68" t="s">
        <v>41</v>
      </c>
      <c r="T510" s="4" t="s">
        <v>42</v>
      </c>
      <c r="U510" s="1" t="s">
        <v>43</v>
      </c>
      <c r="V510" s="1" t="s">
        <v>25</v>
      </c>
      <c r="W510" s="25">
        <v>518530</v>
      </c>
    </row>
    <row r="511" spans="1:23" ht="57" customHeight="1" x14ac:dyDescent="0.25">
      <c r="A511" s="95" t="s">
        <v>56</v>
      </c>
      <c r="B511" s="24" t="s">
        <v>222</v>
      </c>
      <c r="C511" s="25">
        <v>2316</v>
      </c>
      <c r="D511" s="43" t="s">
        <v>1067</v>
      </c>
      <c r="E511" s="1" t="s">
        <v>1068</v>
      </c>
      <c r="F511" s="25" t="s">
        <v>26</v>
      </c>
      <c r="G511" s="43" t="s">
        <v>242</v>
      </c>
      <c r="H511" s="47" t="s">
        <v>39</v>
      </c>
      <c r="I511" s="43" t="s">
        <v>37</v>
      </c>
      <c r="J511" s="2" t="s">
        <v>38</v>
      </c>
      <c r="K511" s="47" t="s">
        <v>39</v>
      </c>
      <c r="L511" s="57"/>
      <c r="M511" s="5"/>
      <c r="N511" s="5"/>
      <c r="O511" s="5"/>
      <c r="P511" s="56"/>
      <c r="Q511" s="56"/>
      <c r="R511" s="64"/>
      <c r="S511" s="68" t="s">
        <v>41</v>
      </c>
      <c r="T511" s="4" t="s">
        <v>42</v>
      </c>
      <c r="U511" s="1" t="s">
        <v>43</v>
      </c>
      <c r="V511" s="1" t="s">
        <v>25</v>
      </c>
      <c r="W511" s="25">
        <v>518510</v>
      </c>
    </row>
    <row r="512" spans="1:23" ht="57" customHeight="1" x14ac:dyDescent="0.25">
      <c r="A512" s="95" t="s">
        <v>56</v>
      </c>
      <c r="B512" s="24" t="s">
        <v>222</v>
      </c>
      <c r="C512" s="25">
        <v>1799</v>
      </c>
      <c r="D512" s="43" t="s">
        <v>1069</v>
      </c>
      <c r="E512" s="1" t="s">
        <v>1070</v>
      </c>
      <c r="F512" s="25" t="s">
        <v>22</v>
      </c>
      <c r="G512" s="43" t="s">
        <v>173</v>
      </c>
      <c r="H512" s="47" t="s">
        <v>36</v>
      </c>
      <c r="I512" s="43" t="s">
        <v>24</v>
      </c>
      <c r="J512" s="2" t="s">
        <v>11</v>
      </c>
      <c r="K512" s="47" t="s">
        <v>120</v>
      </c>
      <c r="L512" s="57"/>
      <c r="M512" s="3">
        <v>0.35955056179775302</v>
      </c>
      <c r="N512" s="3">
        <v>0.35955056179775302</v>
      </c>
      <c r="O512" s="3">
        <v>0</v>
      </c>
      <c r="P512" s="56"/>
      <c r="Q512" s="56"/>
      <c r="R512" s="64"/>
      <c r="S512" s="68" t="s">
        <v>41</v>
      </c>
      <c r="T512" s="4" t="s">
        <v>42</v>
      </c>
      <c r="U512" s="1" t="s">
        <v>43</v>
      </c>
      <c r="V512" s="1" t="s">
        <v>24</v>
      </c>
      <c r="W512" s="25"/>
    </row>
    <row r="513" spans="1:23" ht="57" customHeight="1" x14ac:dyDescent="0.25">
      <c r="A513" s="95" t="s">
        <v>56</v>
      </c>
      <c r="B513" s="24" t="s">
        <v>222</v>
      </c>
      <c r="C513" s="25">
        <v>1799</v>
      </c>
      <c r="D513" s="43" t="s">
        <v>1071</v>
      </c>
      <c r="E513" s="1" t="s">
        <v>1072</v>
      </c>
      <c r="F513" s="25" t="s">
        <v>22</v>
      </c>
      <c r="G513" s="43" t="s">
        <v>173</v>
      </c>
      <c r="H513" s="47" t="s">
        <v>36</v>
      </c>
      <c r="I513" s="43" t="s">
        <v>30</v>
      </c>
      <c r="J513" s="2" t="s">
        <v>38</v>
      </c>
      <c r="K513" s="47" t="s">
        <v>39</v>
      </c>
      <c r="L513" s="57"/>
      <c r="M513" s="5"/>
      <c r="N513" s="5"/>
      <c r="O513" s="5"/>
      <c r="P513" s="56"/>
      <c r="Q513" s="56">
        <v>0.3</v>
      </c>
      <c r="R513" s="64"/>
      <c r="S513" s="68" t="s">
        <v>41</v>
      </c>
      <c r="T513" s="4" t="s">
        <v>42</v>
      </c>
      <c r="U513" s="1" t="s">
        <v>43</v>
      </c>
      <c r="V513" s="1" t="s">
        <v>30</v>
      </c>
      <c r="W513" s="25"/>
    </row>
    <row r="514" spans="1:23" ht="57.75" customHeight="1" thickBot="1" x14ac:dyDescent="0.3">
      <c r="A514" s="96" t="s">
        <v>56</v>
      </c>
      <c r="B514" s="26" t="s">
        <v>222</v>
      </c>
      <c r="C514" s="32">
        <v>1799</v>
      </c>
      <c r="D514" s="44" t="s">
        <v>1067</v>
      </c>
      <c r="E514" s="27" t="s">
        <v>1073</v>
      </c>
      <c r="F514" s="32" t="s">
        <v>22</v>
      </c>
      <c r="G514" s="44" t="s">
        <v>173</v>
      </c>
      <c r="H514" s="48" t="s">
        <v>36</v>
      </c>
      <c r="I514" s="44" t="s">
        <v>24</v>
      </c>
      <c r="J514" s="28" t="s">
        <v>11</v>
      </c>
      <c r="K514" s="48" t="s">
        <v>120</v>
      </c>
      <c r="L514" s="58"/>
      <c r="M514" s="30">
        <v>0.82022471910112404</v>
      </c>
      <c r="N514" s="30">
        <v>0.82022471910112404</v>
      </c>
      <c r="O514" s="30">
        <v>0</v>
      </c>
      <c r="P514" s="59"/>
      <c r="Q514" s="59"/>
      <c r="R514" s="65"/>
      <c r="S514" s="69" t="s">
        <v>41</v>
      </c>
      <c r="T514" s="31" t="s">
        <v>42</v>
      </c>
      <c r="U514" s="27" t="s">
        <v>43</v>
      </c>
      <c r="V514" s="27" t="s">
        <v>24</v>
      </c>
      <c r="W514" s="32"/>
    </row>
    <row r="515" spans="1:23" ht="57" customHeight="1" x14ac:dyDescent="0.25">
      <c r="A515" s="94" t="s">
        <v>56</v>
      </c>
      <c r="B515" s="18" t="s">
        <v>83</v>
      </c>
      <c r="C515" s="23">
        <v>1106</v>
      </c>
      <c r="D515" s="42" t="s">
        <v>1074</v>
      </c>
      <c r="E515" s="19" t="s">
        <v>1075</v>
      </c>
      <c r="F515" s="23" t="s">
        <v>26</v>
      </c>
      <c r="G515" s="42" t="s">
        <v>356</v>
      </c>
      <c r="H515" s="46" t="s">
        <v>39</v>
      </c>
      <c r="I515" s="100" t="s">
        <v>245</v>
      </c>
      <c r="J515" s="20" t="s">
        <v>38</v>
      </c>
      <c r="K515" s="46" t="s">
        <v>39</v>
      </c>
      <c r="L515" s="53"/>
      <c r="M515" s="21"/>
      <c r="N515" s="21"/>
      <c r="O515" s="21"/>
      <c r="P515" s="54"/>
      <c r="Q515" s="54"/>
      <c r="R515" s="63"/>
      <c r="S515" s="67" t="s">
        <v>157</v>
      </c>
      <c r="T515" s="22" t="s">
        <v>158</v>
      </c>
      <c r="U515" s="19" t="s">
        <v>43</v>
      </c>
      <c r="V515" s="19" t="s">
        <v>37</v>
      </c>
      <c r="W515" s="23"/>
    </row>
    <row r="516" spans="1:23" ht="57" customHeight="1" x14ac:dyDescent="0.25">
      <c r="A516" s="95" t="s">
        <v>56</v>
      </c>
      <c r="B516" s="24" t="s">
        <v>83</v>
      </c>
      <c r="C516" s="25">
        <v>1106</v>
      </c>
      <c r="D516" s="43" t="s">
        <v>1076</v>
      </c>
      <c r="E516" s="1" t="s">
        <v>1077</v>
      </c>
      <c r="F516" s="25" t="s">
        <v>26</v>
      </c>
      <c r="G516" s="43" t="s">
        <v>161</v>
      </c>
      <c r="H516" s="47" t="s">
        <v>39</v>
      </c>
      <c r="I516" s="43" t="s">
        <v>247</v>
      </c>
      <c r="J516" s="2" t="s">
        <v>38</v>
      </c>
      <c r="K516" s="47" t="s">
        <v>39</v>
      </c>
      <c r="L516" s="57"/>
      <c r="M516" s="5"/>
      <c r="N516" s="5"/>
      <c r="O516" s="5"/>
      <c r="P516" s="56"/>
      <c r="Q516" s="56"/>
      <c r="R516" s="64"/>
      <c r="S516" s="68" t="s">
        <v>157</v>
      </c>
      <c r="T516" s="4" t="s">
        <v>158</v>
      </c>
      <c r="U516" s="1" t="s">
        <v>43</v>
      </c>
      <c r="V516" s="1" t="s">
        <v>247</v>
      </c>
      <c r="W516" s="25"/>
    </row>
    <row r="517" spans="1:23" ht="57" customHeight="1" x14ac:dyDescent="0.25">
      <c r="A517" s="95" t="s">
        <v>56</v>
      </c>
      <c r="B517" s="24" t="s">
        <v>83</v>
      </c>
      <c r="C517" s="25">
        <v>1106</v>
      </c>
      <c r="D517" s="43" t="s">
        <v>1078</v>
      </c>
      <c r="E517" s="1" t="s">
        <v>1079</v>
      </c>
      <c r="F517" s="25" t="s">
        <v>26</v>
      </c>
      <c r="G517" s="43" t="s">
        <v>29</v>
      </c>
      <c r="H517" s="47" t="s">
        <v>39</v>
      </c>
      <c r="I517" s="43" t="s">
        <v>28</v>
      </c>
      <c r="J517" s="2" t="s">
        <v>38</v>
      </c>
      <c r="K517" s="47" t="s">
        <v>39</v>
      </c>
      <c r="L517" s="57"/>
      <c r="M517" s="5"/>
      <c r="N517" s="5"/>
      <c r="O517" s="5"/>
      <c r="P517" s="56"/>
      <c r="Q517" s="56"/>
      <c r="R517" s="64"/>
      <c r="S517" s="68" t="s">
        <v>157</v>
      </c>
      <c r="T517" s="4" t="s">
        <v>158</v>
      </c>
      <c r="U517" s="1" t="s">
        <v>43</v>
      </c>
      <c r="V517" s="1" t="s">
        <v>28</v>
      </c>
      <c r="W517" s="25"/>
    </row>
    <row r="518" spans="1:23" ht="57" customHeight="1" x14ac:dyDescent="0.25">
      <c r="A518" s="95" t="s">
        <v>56</v>
      </c>
      <c r="B518" s="24" t="s">
        <v>83</v>
      </c>
      <c r="C518" s="25">
        <v>1106</v>
      </c>
      <c r="D518" s="43" t="s">
        <v>1080</v>
      </c>
      <c r="E518" s="1" t="s">
        <v>1081</v>
      </c>
      <c r="F518" s="25" t="s">
        <v>26</v>
      </c>
      <c r="G518" s="43" t="s">
        <v>496</v>
      </c>
      <c r="H518" s="47" t="s">
        <v>39</v>
      </c>
      <c r="I518" s="43" t="s">
        <v>28</v>
      </c>
      <c r="J518" s="2" t="s">
        <v>38</v>
      </c>
      <c r="K518" s="47" t="s">
        <v>39</v>
      </c>
      <c r="L518" s="57"/>
      <c r="M518" s="5"/>
      <c r="N518" s="5"/>
      <c r="O518" s="5"/>
      <c r="P518" s="56"/>
      <c r="Q518" s="56"/>
      <c r="R518" s="64"/>
      <c r="S518" s="68" t="s">
        <v>157</v>
      </c>
      <c r="T518" s="4" t="s">
        <v>158</v>
      </c>
      <c r="U518" s="1" t="s">
        <v>43</v>
      </c>
      <c r="V518" s="1" t="s">
        <v>28</v>
      </c>
      <c r="W518" s="25"/>
    </row>
    <row r="519" spans="1:23" ht="57" customHeight="1" x14ac:dyDescent="0.25">
      <c r="A519" s="95" t="s">
        <v>56</v>
      </c>
      <c r="B519" s="24" t="s">
        <v>83</v>
      </c>
      <c r="C519" s="25">
        <v>1106</v>
      </c>
      <c r="D519" s="43" t="s">
        <v>1082</v>
      </c>
      <c r="E519" s="1" t="s">
        <v>1083</v>
      </c>
      <c r="F519" s="25" t="s">
        <v>26</v>
      </c>
      <c r="G519" s="43" t="s">
        <v>564</v>
      </c>
      <c r="H519" s="47" t="s">
        <v>39</v>
      </c>
      <c r="I519" s="43" t="s">
        <v>28</v>
      </c>
      <c r="J519" s="2" t="s">
        <v>38</v>
      </c>
      <c r="K519" s="47" t="s">
        <v>39</v>
      </c>
      <c r="L519" s="57"/>
      <c r="M519" s="5"/>
      <c r="N519" s="5"/>
      <c r="O519" s="5"/>
      <c r="P519" s="56"/>
      <c r="Q519" s="56"/>
      <c r="R519" s="64"/>
      <c r="S519" s="68" t="s">
        <v>157</v>
      </c>
      <c r="T519" s="4" t="s">
        <v>158</v>
      </c>
      <c r="U519" s="1" t="s">
        <v>43</v>
      </c>
      <c r="V519" s="1" t="s">
        <v>28</v>
      </c>
      <c r="W519" s="25"/>
    </row>
    <row r="520" spans="1:23" ht="57" customHeight="1" x14ac:dyDescent="0.25">
      <c r="A520" s="95" t="s">
        <v>56</v>
      </c>
      <c r="B520" s="24" t="s">
        <v>83</v>
      </c>
      <c r="C520" s="25">
        <v>1106</v>
      </c>
      <c r="D520" s="43" t="s">
        <v>1084</v>
      </c>
      <c r="E520" s="1" t="s">
        <v>1085</v>
      </c>
      <c r="F520" s="25" t="s">
        <v>31</v>
      </c>
      <c r="G520" s="43" t="s">
        <v>242</v>
      </c>
      <c r="H520" s="47" t="s">
        <v>39</v>
      </c>
      <c r="I520" s="43" t="s">
        <v>24</v>
      </c>
      <c r="J520" s="2" t="s">
        <v>11</v>
      </c>
      <c r="K520" s="47" t="s">
        <v>120</v>
      </c>
      <c r="L520" s="57"/>
      <c r="M520" s="3">
        <v>1.4382022471910112</v>
      </c>
      <c r="N520" s="3">
        <v>0</v>
      </c>
      <c r="O520" s="3">
        <v>0</v>
      </c>
      <c r="P520" s="56">
        <v>1.4382022471910112</v>
      </c>
      <c r="Q520" s="56">
        <v>1.4382022471910112</v>
      </c>
      <c r="R520" s="64"/>
      <c r="S520" s="68" t="s">
        <v>157</v>
      </c>
      <c r="T520" s="4" t="s">
        <v>158</v>
      </c>
      <c r="U520" s="1" t="s">
        <v>43</v>
      </c>
      <c r="V520" s="1" t="s">
        <v>25</v>
      </c>
      <c r="W520" s="25" t="s">
        <v>1086</v>
      </c>
    </row>
    <row r="521" spans="1:23" ht="142.5" customHeight="1" x14ac:dyDescent="0.25">
      <c r="A521" s="95" t="s">
        <v>56</v>
      </c>
      <c r="B521" s="24" t="s">
        <v>83</v>
      </c>
      <c r="C521" s="25">
        <v>1106</v>
      </c>
      <c r="D521" s="43" t="s">
        <v>1087</v>
      </c>
      <c r="E521" s="1" t="s">
        <v>1088</v>
      </c>
      <c r="F521" s="25" t="s">
        <v>31</v>
      </c>
      <c r="G521" s="43" t="s">
        <v>140</v>
      </c>
      <c r="H521" s="47" t="s">
        <v>39</v>
      </c>
      <c r="I521" s="43" t="s">
        <v>24</v>
      </c>
      <c r="J521" s="2" t="s">
        <v>11</v>
      </c>
      <c r="K521" s="47" t="s">
        <v>120</v>
      </c>
      <c r="L521" s="57"/>
      <c r="M521" s="3">
        <v>8.5617977528089888</v>
      </c>
      <c r="N521" s="3">
        <v>0</v>
      </c>
      <c r="O521" s="3">
        <v>0</v>
      </c>
      <c r="P521" s="56">
        <v>8.5617977528089888</v>
      </c>
      <c r="Q521" s="56">
        <v>8.5617977528089888</v>
      </c>
      <c r="R521" s="64"/>
      <c r="S521" s="68" t="s">
        <v>157</v>
      </c>
      <c r="T521" s="4" t="s">
        <v>158</v>
      </c>
      <c r="U521" s="1" t="s">
        <v>43</v>
      </c>
      <c r="V521" s="1" t="s">
        <v>24</v>
      </c>
      <c r="W521" s="25"/>
    </row>
    <row r="522" spans="1:23" ht="57" customHeight="1" x14ac:dyDescent="0.25">
      <c r="A522" s="95" t="s">
        <v>56</v>
      </c>
      <c r="B522" s="24" t="s">
        <v>83</v>
      </c>
      <c r="C522" s="25">
        <v>1106</v>
      </c>
      <c r="D522" s="43" t="s">
        <v>1089</v>
      </c>
      <c r="E522" s="1" t="s">
        <v>1090</v>
      </c>
      <c r="F522" s="25" t="s">
        <v>26</v>
      </c>
      <c r="G522" s="43" t="s">
        <v>566</v>
      </c>
      <c r="H522" s="47" t="s">
        <v>39</v>
      </c>
      <c r="I522" s="43" t="s">
        <v>28</v>
      </c>
      <c r="J522" s="2" t="s">
        <v>38</v>
      </c>
      <c r="K522" s="47" t="s">
        <v>39</v>
      </c>
      <c r="L522" s="57"/>
      <c r="M522" s="5"/>
      <c r="N522" s="5"/>
      <c r="O522" s="5"/>
      <c r="P522" s="56"/>
      <c r="Q522" s="56"/>
      <c r="R522" s="64"/>
      <c r="S522" s="68" t="s">
        <v>157</v>
      </c>
      <c r="T522" s="4" t="s">
        <v>158</v>
      </c>
      <c r="U522" s="1" t="s">
        <v>43</v>
      </c>
      <c r="V522" s="1" t="s">
        <v>28</v>
      </c>
      <c r="W522" s="25"/>
    </row>
    <row r="523" spans="1:23" ht="57" customHeight="1" x14ac:dyDescent="0.25">
      <c r="A523" s="95" t="s">
        <v>56</v>
      </c>
      <c r="B523" s="24" t="s">
        <v>83</v>
      </c>
      <c r="C523" s="25">
        <v>1106</v>
      </c>
      <c r="D523" s="43" t="s">
        <v>228</v>
      </c>
      <c r="E523" s="1" t="s">
        <v>1091</v>
      </c>
      <c r="F523" s="25" t="s">
        <v>26</v>
      </c>
      <c r="G523" s="43" t="s">
        <v>230</v>
      </c>
      <c r="H523" s="47" t="s">
        <v>39</v>
      </c>
      <c r="I523" s="43" t="s">
        <v>28</v>
      </c>
      <c r="J523" s="2" t="s">
        <v>38</v>
      </c>
      <c r="K523" s="47" t="s">
        <v>39</v>
      </c>
      <c r="L523" s="57"/>
      <c r="M523" s="5"/>
      <c r="N523" s="5"/>
      <c r="O523" s="5"/>
      <c r="P523" s="56"/>
      <c r="Q523" s="56"/>
      <c r="R523" s="64"/>
      <c r="S523" s="68" t="s">
        <v>157</v>
      </c>
      <c r="T523" s="4" t="s">
        <v>158</v>
      </c>
      <c r="U523" s="1" t="s">
        <v>43</v>
      </c>
      <c r="V523" s="1" t="s">
        <v>28</v>
      </c>
      <c r="W523" s="25"/>
    </row>
    <row r="524" spans="1:23" ht="57" customHeight="1" x14ac:dyDescent="0.25">
      <c r="A524" s="95" t="s">
        <v>56</v>
      </c>
      <c r="B524" s="24" t="s">
        <v>83</v>
      </c>
      <c r="C524" s="25">
        <v>1106</v>
      </c>
      <c r="D524" s="43" t="s">
        <v>36</v>
      </c>
      <c r="E524" s="1" t="s">
        <v>1092</v>
      </c>
      <c r="F524" s="25" t="s">
        <v>31</v>
      </c>
      <c r="G524" s="43" t="s">
        <v>47</v>
      </c>
      <c r="H524" s="47" t="s">
        <v>36</v>
      </c>
      <c r="I524" s="43" t="s">
        <v>117</v>
      </c>
      <c r="J524" s="2" t="s">
        <v>10</v>
      </c>
      <c r="K524" s="47" t="s">
        <v>120</v>
      </c>
      <c r="L524" s="55">
        <v>0.8</v>
      </c>
      <c r="M524" s="5"/>
      <c r="N524" s="5"/>
      <c r="O524" s="5"/>
      <c r="P524" s="56">
        <v>0.8</v>
      </c>
      <c r="Q524" s="56">
        <v>0.8</v>
      </c>
      <c r="R524" s="64"/>
      <c r="S524" s="68" t="s">
        <v>573</v>
      </c>
      <c r="T524" s="4" t="s">
        <v>574</v>
      </c>
      <c r="U524" s="1" t="s">
        <v>43</v>
      </c>
      <c r="V524" s="1" t="s">
        <v>117</v>
      </c>
      <c r="W524" s="25"/>
    </row>
    <row r="525" spans="1:23" ht="42.75" customHeight="1" x14ac:dyDescent="0.25">
      <c r="A525" s="95" t="s">
        <v>56</v>
      </c>
      <c r="B525" s="24" t="s">
        <v>83</v>
      </c>
      <c r="C525" s="25">
        <v>1106</v>
      </c>
      <c r="D525" s="43" t="s">
        <v>36</v>
      </c>
      <c r="E525" s="1" t="s">
        <v>1093</v>
      </c>
      <c r="F525" s="25" t="s">
        <v>31</v>
      </c>
      <c r="G525" s="43" t="s">
        <v>47</v>
      </c>
      <c r="H525" s="47" t="s">
        <v>36</v>
      </c>
      <c r="I525" s="43" t="s">
        <v>117</v>
      </c>
      <c r="J525" s="2" t="s">
        <v>10</v>
      </c>
      <c r="K525" s="47" t="s">
        <v>120</v>
      </c>
      <c r="L525" s="55">
        <v>4.3</v>
      </c>
      <c r="M525" s="5"/>
      <c r="N525" s="5"/>
      <c r="O525" s="5"/>
      <c r="P525" s="56">
        <v>4.3</v>
      </c>
      <c r="Q525" s="56">
        <v>4.3</v>
      </c>
      <c r="R525" s="64"/>
      <c r="S525" s="68" t="s">
        <v>573</v>
      </c>
      <c r="T525" s="4" t="s">
        <v>574</v>
      </c>
      <c r="U525" s="1" t="s">
        <v>43</v>
      </c>
      <c r="V525" s="1" t="s">
        <v>117</v>
      </c>
      <c r="W525" s="25"/>
    </row>
    <row r="526" spans="1:23" ht="28.5" customHeight="1" x14ac:dyDescent="0.25">
      <c r="A526" s="95" t="s">
        <v>56</v>
      </c>
      <c r="B526" s="24" t="s">
        <v>83</v>
      </c>
      <c r="C526" s="25">
        <v>1106</v>
      </c>
      <c r="D526" s="43" t="s">
        <v>79</v>
      </c>
      <c r="E526" s="1" t="s">
        <v>1094</v>
      </c>
      <c r="F526" s="25" t="s">
        <v>26</v>
      </c>
      <c r="G526" s="43" t="s">
        <v>383</v>
      </c>
      <c r="H526" s="47" t="s">
        <v>119</v>
      </c>
      <c r="I526" s="43" t="s">
        <v>399</v>
      </c>
      <c r="J526" s="2" t="s">
        <v>10</v>
      </c>
      <c r="K526" s="47" t="s">
        <v>49</v>
      </c>
      <c r="L526" s="55">
        <v>6.2</v>
      </c>
      <c r="M526" s="5"/>
      <c r="N526" s="5"/>
      <c r="O526" s="5"/>
      <c r="P526" s="56">
        <v>6.2</v>
      </c>
      <c r="Q526" s="56">
        <v>6.2</v>
      </c>
      <c r="R526" s="64"/>
      <c r="S526" s="68" t="s">
        <v>573</v>
      </c>
      <c r="T526" s="4" t="s">
        <v>574</v>
      </c>
      <c r="U526" s="1" t="s">
        <v>43</v>
      </c>
      <c r="V526" s="1" t="s">
        <v>1095</v>
      </c>
      <c r="W526" s="25"/>
    </row>
    <row r="527" spans="1:23" ht="42.75" customHeight="1" x14ac:dyDescent="0.25">
      <c r="A527" s="95" t="s">
        <v>56</v>
      </c>
      <c r="B527" s="24" t="s">
        <v>83</v>
      </c>
      <c r="C527" s="25">
        <v>1106</v>
      </c>
      <c r="D527" s="43" t="s">
        <v>69</v>
      </c>
      <c r="E527" s="1" t="s">
        <v>1096</v>
      </c>
      <c r="F527" s="25" t="s">
        <v>31</v>
      </c>
      <c r="G527" s="43" t="s">
        <v>116</v>
      </c>
      <c r="H527" s="47" t="s">
        <v>119</v>
      </c>
      <c r="I527" s="43" t="s">
        <v>117</v>
      </c>
      <c r="J527" s="2" t="s">
        <v>10</v>
      </c>
      <c r="K527" s="47" t="s">
        <v>120</v>
      </c>
      <c r="L527" s="55">
        <v>5.5</v>
      </c>
      <c r="M527" s="5"/>
      <c r="N527" s="5"/>
      <c r="O527" s="5"/>
      <c r="P527" s="56">
        <v>5.5</v>
      </c>
      <c r="Q527" s="56">
        <v>5.5</v>
      </c>
      <c r="R527" s="64"/>
      <c r="S527" s="68" t="s">
        <v>573</v>
      </c>
      <c r="T527" s="4" t="s">
        <v>574</v>
      </c>
      <c r="U527" s="1" t="s">
        <v>43</v>
      </c>
      <c r="V527" s="1" t="s">
        <v>117</v>
      </c>
      <c r="W527" s="25"/>
    </row>
    <row r="528" spans="1:23" ht="42.75" customHeight="1" x14ac:dyDescent="0.25">
      <c r="A528" s="95" t="s">
        <v>56</v>
      </c>
      <c r="B528" s="24" t="s">
        <v>83</v>
      </c>
      <c r="C528" s="25">
        <v>1106</v>
      </c>
      <c r="D528" s="43" t="s">
        <v>1097</v>
      </c>
      <c r="E528" s="1" t="s">
        <v>1098</v>
      </c>
      <c r="F528" s="25" t="s">
        <v>31</v>
      </c>
      <c r="G528" s="43" t="s">
        <v>1110</v>
      </c>
      <c r="H528" s="47" t="s">
        <v>36</v>
      </c>
      <c r="I528" s="43" t="s">
        <v>117</v>
      </c>
      <c r="J528" s="2" t="s">
        <v>10</v>
      </c>
      <c r="K528" s="47" t="s">
        <v>120</v>
      </c>
      <c r="L528" s="55">
        <v>9.9999999999999995E-7</v>
      </c>
      <c r="M528" s="5"/>
      <c r="N528" s="5"/>
      <c r="O528" s="5"/>
      <c r="P528" s="56"/>
      <c r="Q528" s="56"/>
      <c r="R528" s="64" t="s">
        <v>1099</v>
      </c>
      <c r="S528" s="68" t="s">
        <v>573</v>
      </c>
      <c r="T528" s="4" t="s">
        <v>574</v>
      </c>
      <c r="U528" s="1" t="s">
        <v>43</v>
      </c>
      <c r="V528" s="1" t="s">
        <v>117</v>
      </c>
      <c r="W528" s="25"/>
    </row>
    <row r="529" spans="1:23" ht="42.75" customHeight="1" x14ac:dyDescent="0.25">
      <c r="A529" s="95" t="s">
        <v>56</v>
      </c>
      <c r="B529" s="24" t="s">
        <v>83</v>
      </c>
      <c r="C529" s="25">
        <v>1106</v>
      </c>
      <c r="D529" s="43" t="s">
        <v>36</v>
      </c>
      <c r="E529" s="1" t="s">
        <v>1227</v>
      </c>
      <c r="F529" s="25" t="s">
        <v>31</v>
      </c>
      <c r="G529" s="43" t="s">
        <v>47</v>
      </c>
      <c r="H529" s="47" t="s">
        <v>36</v>
      </c>
      <c r="I529" s="99" t="s">
        <v>399</v>
      </c>
      <c r="J529" s="2" t="s">
        <v>10</v>
      </c>
      <c r="K529" s="47" t="s">
        <v>49</v>
      </c>
      <c r="L529" s="55">
        <v>0</v>
      </c>
      <c r="M529" s="5"/>
      <c r="N529" s="5"/>
      <c r="O529" s="5"/>
      <c r="P529" s="56">
        <v>0</v>
      </c>
      <c r="Q529" s="56">
        <v>0</v>
      </c>
      <c r="R529" s="64" t="s">
        <v>1099</v>
      </c>
      <c r="S529" s="68" t="s">
        <v>573</v>
      </c>
      <c r="T529" s="4" t="s">
        <v>574</v>
      </c>
      <c r="U529" s="1" t="s">
        <v>43</v>
      </c>
      <c r="V529" s="1" t="s">
        <v>1095</v>
      </c>
      <c r="W529" s="25"/>
    </row>
    <row r="530" spans="1:23" ht="42.75" customHeight="1" x14ac:dyDescent="0.25">
      <c r="A530" s="95" t="s">
        <v>56</v>
      </c>
      <c r="B530" s="24" t="s">
        <v>83</v>
      </c>
      <c r="C530" s="25">
        <v>1106</v>
      </c>
      <c r="D530" s="43" t="s">
        <v>36</v>
      </c>
      <c r="E530" s="1" t="s">
        <v>1100</v>
      </c>
      <c r="F530" s="25" t="s">
        <v>31</v>
      </c>
      <c r="G530" s="43" t="s">
        <v>47</v>
      </c>
      <c r="H530" s="47" t="s">
        <v>36</v>
      </c>
      <c r="I530" s="43" t="s">
        <v>117</v>
      </c>
      <c r="J530" s="2" t="s">
        <v>10</v>
      </c>
      <c r="K530" s="47" t="s">
        <v>120</v>
      </c>
      <c r="L530" s="55">
        <v>9.9999999999999995E-7</v>
      </c>
      <c r="M530" s="5"/>
      <c r="N530" s="5"/>
      <c r="O530" s="5"/>
      <c r="P530" s="56"/>
      <c r="Q530" s="56"/>
      <c r="R530" s="64" t="s">
        <v>1099</v>
      </c>
      <c r="S530" s="68" t="s">
        <v>573</v>
      </c>
      <c r="T530" s="4" t="s">
        <v>574</v>
      </c>
      <c r="U530" s="1" t="s">
        <v>43</v>
      </c>
      <c r="V530" s="1" t="s">
        <v>117</v>
      </c>
      <c r="W530" s="25"/>
    </row>
    <row r="531" spans="1:23" ht="42.75" customHeight="1" x14ac:dyDescent="0.25">
      <c r="A531" s="95" t="s">
        <v>56</v>
      </c>
      <c r="B531" s="24" t="s">
        <v>83</v>
      </c>
      <c r="C531" s="25">
        <v>1106</v>
      </c>
      <c r="D531" s="43" t="s">
        <v>36</v>
      </c>
      <c r="E531" s="1" t="s">
        <v>1101</v>
      </c>
      <c r="F531" s="25" t="s">
        <v>31</v>
      </c>
      <c r="G531" s="43" t="s">
        <v>47</v>
      </c>
      <c r="H531" s="47" t="s">
        <v>36</v>
      </c>
      <c r="I531" s="43" t="s">
        <v>117</v>
      </c>
      <c r="J531" s="2" t="s">
        <v>10</v>
      </c>
      <c r="K531" s="47" t="s">
        <v>120</v>
      </c>
      <c r="L531" s="55">
        <v>9.9999999999999995E-7</v>
      </c>
      <c r="M531" s="5"/>
      <c r="N531" s="5"/>
      <c r="O531" s="5"/>
      <c r="P531" s="56"/>
      <c r="Q531" s="56"/>
      <c r="R531" s="64" t="s">
        <v>1099</v>
      </c>
      <c r="S531" s="68" t="s">
        <v>573</v>
      </c>
      <c r="T531" s="4" t="s">
        <v>574</v>
      </c>
      <c r="U531" s="1" t="s">
        <v>43</v>
      </c>
      <c r="V531" s="1" t="s">
        <v>117</v>
      </c>
      <c r="W531" s="25"/>
    </row>
    <row r="532" spans="1:23" ht="42.75" customHeight="1" x14ac:dyDescent="0.25">
      <c r="A532" s="95" t="s">
        <v>56</v>
      </c>
      <c r="B532" s="24" t="s">
        <v>83</v>
      </c>
      <c r="C532" s="25">
        <v>1106</v>
      </c>
      <c r="D532" s="43" t="s">
        <v>36</v>
      </c>
      <c r="E532" s="1" t="s">
        <v>1102</v>
      </c>
      <c r="F532" s="25" t="s">
        <v>31</v>
      </c>
      <c r="G532" s="43" t="s">
        <v>47</v>
      </c>
      <c r="H532" s="47" t="s">
        <v>36</v>
      </c>
      <c r="I532" s="43" t="s">
        <v>117</v>
      </c>
      <c r="J532" s="2" t="s">
        <v>10</v>
      </c>
      <c r="K532" s="47" t="s">
        <v>120</v>
      </c>
      <c r="L532" s="55">
        <v>9.9999999999999995E-7</v>
      </c>
      <c r="M532" s="5"/>
      <c r="N532" s="5"/>
      <c r="O532" s="5"/>
      <c r="P532" s="56"/>
      <c r="Q532" s="56"/>
      <c r="R532" s="64" t="s">
        <v>1099</v>
      </c>
      <c r="S532" s="68" t="s">
        <v>573</v>
      </c>
      <c r="T532" s="4" t="s">
        <v>574</v>
      </c>
      <c r="U532" s="1" t="s">
        <v>43</v>
      </c>
      <c r="V532" s="1" t="s">
        <v>117</v>
      </c>
      <c r="W532" s="25"/>
    </row>
    <row r="533" spans="1:23" ht="42.75" customHeight="1" x14ac:dyDescent="0.25">
      <c r="A533" s="95" t="s">
        <v>56</v>
      </c>
      <c r="B533" s="24" t="s">
        <v>83</v>
      </c>
      <c r="C533" s="25">
        <v>1106</v>
      </c>
      <c r="D533" s="43" t="s">
        <v>36</v>
      </c>
      <c r="E533" s="1" t="s">
        <v>1103</v>
      </c>
      <c r="F533" s="25" t="s">
        <v>31</v>
      </c>
      <c r="G533" s="43" t="s">
        <v>47</v>
      </c>
      <c r="H533" s="47" t="s">
        <v>36</v>
      </c>
      <c r="I533" s="43" t="s">
        <v>117</v>
      </c>
      <c r="J533" s="2" t="s">
        <v>10</v>
      </c>
      <c r="K533" s="47" t="s">
        <v>120</v>
      </c>
      <c r="L533" s="55">
        <v>3.1544495157050117E-4</v>
      </c>
      <c r="M533" s="5"/>
      <c r="N533" s="5"/>
      <c r="O533" s="5"/>
      <c r="P533" s="56">
        <v>3.1544495157050117E-4</v>
      </c>
      <c r="Q533" s="56">
        <v>3.1544495157050117E-4</v>
      </c>
      <c r="R533" s="64"/>
      <c r="S533" s="68" t="s">
        <v>573</v>
      </c>
      <c r="T533" s="4" t="s">
        <v>574</v>
      </c>
      <c r="U533" s="1" t="s">
        <v>43</v>
      </c>
      <c r="V533" s="1" t="s">
        <v>117</v>
      </c>
      <c r="W533" s="25"/>
    </row>
    <row r="534" spans="1:23" ht="42.75" customHeight="1" x14ac:dyDescent="0.25">
      <c r="A534" s="95" t="s">
        <v>56</v>
      </c>
      <c r="B534" s="24" t="s">
        <v>83</v>
      </c>
      <c r="C534" s="25">
        <v>1106</v>
      </c>
      <c r="D534" s="43" t="s">
        <v>36</v>
      </c>
      <c r="E534" s="1" t="s">
        <v>1104</v>
      </c>
      <c r="F534" s="25" t="s">
        <v>31</v>
      </c>
      <c r="G534" s="43" t="s">
        <v>47</v>
      </c>
      <c r="H534" s="47" t="s">
        <v>36</v>
      </c>
      <c r="I534" s="43" t="s">
        <v>117</v>
      </c>
      <c r="J534" s="2" t="s">
        <v>10</v>
      </c>
      <c r="K534" s="47" t="s">
        <v>120</v>
      </c>
      <c r="L534" s="55">
        <v>0.8</v>
      </c>
      <c r="M534" s="5"/>
      <c r="N534" s="5"/>
      <c r="O534" s="5"/>
      <c r="P534" s="56">
        <v>0.8</v>
      </c>
      <c r="Q534" s="56">
        <v>0.8</v>
      </c>
      <c r="R534" s="64"/>
      <c r="S534" s="68" t="s">
        <v>573</v>
      </c>
      <c r="T534" s="4" t="s">
        <v>574</v>
      </c>
      <c r="U534" s="1" t="s">
        <v>43</v>
      </c>
      <c r="V534" s="1" t="s">
        <v>117</v>
      </c>
      <c r="W534" s="25"/>
    </row>
    <row r="535" spans="1:23" ht="42.75" customHeight="1" x14ac:dyDescent="0.25">
      <c r="A535" s="95" t="s">
        <v>56</v>
      </c>
      <c r="B535" s="24" t="s">
        <v>83</v>
      </c>
      <c r="C535" s="25">
        <v>1106</v>
      </c>
      <c r="D535" s="43" t="s">
        <v>36</v>
      </c>
      <c r="E535" s="1" t="s">
        <v>1105</v>
      </c>
      <c r="F535" s="25" t="s">
        <v>31</v>
      </c>
      <c r="G535" s="43" t="s">
        <v>47</v>
      </c>
      <c r="H535" s="47" t="s">
        <v>36</v>
      </c>
      <c r="I535" s="43" t="s">
        <v>117</v>
      </c>
      <c r="J535" s="2" t="s">
        <v>10</v>
      </c>
      <c r="K535" s="47" t="s">
        <v>120</v>
      </c>
      <c r="L535" s="55">
        <v>0.1</v>
      </c>
      <c r="M535" s="5"/>
      <c r="N535" s="5"/>
      <c r="O535" s="5"/>
      <c r="P535" s="56">
        <v>0.1</v>
      </c>
      <c r="Q535" s="56">
        <v>0.1</v>
      </c>
      <c r="R535" s="64"/>
      <c r="S535" s="68" t="s">
        <v>573</v>
      </c>
      <c r="T535" s="4" t="s">
        <v>574</v>
      </c>
      <c r="U535" s="1" t="s">
        <v>43</v>
      </c>
      <c r="V535" s="1" t="s">
        <v>117</v>
      </c>
      <c r="W535" s="25"/>
    </row>
    <row r="536" spans="1:23" ht="42.75" customHeight="1" x14ac:dyDescent="0.25">
      <c r="A536" s="95" t="s">
        <v>56</v>
      </c>
      <c r="B536" s="24" t="s">
        <v>83</v>
      </c>
      <c r="C536" s="25">
        <v>1106</v>
      </c>
      <c r="D536" s="43" t="s">
        <v>36</v>
      </c>
      <c r="E536" s="1" t="s">
        <v>1106</v>
      </c>
      <c r="F536" s="25" t="s">
        <v>31</v>
      </c>
      <c r="G536" s="43" t="s">
        <v>47</v>
      </c>
      <c r="H536" s="47" t="s">
        <v>36</v>
      </c>
      <c r="I536" s="43" t="s">
        <v>117</v>
      </c>
      <c r="J536" s="2" t="s">
        <v>10</v>
      </c>
      <c r="K536" s="47" t="s">
        <v>120</v>
      </c>
      <c r="L536" s="55">
        <v>5.4</v>
      </c>
      <c r="M536" s="5"/>
      <c r="N536" s="5"/>
      <c r="O536" s="5"/>
      <c r="P536" s="56">
        <v>5.4</v>
      </c>
      <c r="Q536" s="56">
        <v>5.4</v>
      </c>
      <c r="R536" s="64"/>
      <c r="S536" s="68" t="s">
        <v>573</v>
      </c>
      <c r="T536" s="4" t="s">
        <v>574</v>
      </c>
      <c r="U536" s="1" t="s">
        <v>43</v>
      </c>
      <c r="V536" s="1" t="s">
        <v>117</v>
      </c>
      <c r="W536" s="25"/>
    </row>
    <row r="537" spans="1:23" ht="42.75" customHeight="1" x14ac:dyDescent="0.25">
      <c r="A537" s="95" t="s">
        <v>56</v>
      </c>
      <c r="B537" s="24" t="s">
        <v>83</v>
      </c>
      <c r="C537" s="25">
        <v>1106</v>
      </c>
      <c r="D537" s="43" t="s">
        <v>131</v>
      </c>
      <c r="E537" s="1" t="s">
        <v>876</v>
      </c>
      <c r="F537" s="25" t="s">
        <v>31</v>
      </c>
      <c r="G537" s="43" t="s">
        <v>133</v>
      </c>
      <c r="H537" s="47" t="s">
        <v>36</v>
      </c>
      <c r="I537" s="99" t="s">
        <v>134</v>
      </c>
      <c r="J537" s="2" t="s">
        <v>10</v>
      </c>
      <c r="K537" s="47" t="s">
        <v>151</v>
      </c>
      <c r="L537" s="55">
        <v>14</v>
      </c>
      <c r="M537" s="5"/>
      <c r="N537" s="5"/>
      <c r="O537" s="5"/>
      <c r="P537" s="56">
        <v>14</v>
      </c>
      <c r="Q537" s="56">
        <v>14</v>
      </c>
      <c r="R537" s="64"/>
      <c r="S537" s="68"/>
      <c r="T537" s="4"/>
      <c r="U537" s="1"/>
      <c r="V537" s="1"/>
      <c r="W537" s="25"/>
    </row>
    <row r="538" spans="1:23" ht="28.5" customHeight="1" x14ac:dyDescent="0.25">
      <c r="A538" s="95" t="s">
        <v>56</v>
      </c>
      <c r="B538" s="24" t="s">
        <v>83</v>
      </c>
      <c r="C538" s="25">
        <v>1106</v>
      </c>
      <c r="D538" s="43" t="s">
        <v>889</v>
      </c>
      <c r="E538" s="1" t="s">
        <v>1107</v>
      </c>
      <c r="F538" s="25" t="s">
        <v>46</v>
      </c>
      <c r="G538" s="43" t="s">
        <v>196</v>
      </c>
      <c r="H538" s="47" t="s">
        <v>36</v>
      </c>
      <c r="I538" s="99" t="s">
        <v>48</v>
      </c>
      <c r="J538" s="2" t="s">
        <v>10</v>
      </c>
      <c r="K538" s="47" t="s">
        <v>49</v>
      </c>
      <c r="L538" s="55">
        <v>5.5232424891602593E-2</v>
      </c>
      <c r="M538" s="5"/>
      <c r="N538" s="5"/>
      <c r="O538" s="5"/>
      <c r="P538" s="56">
        <v>5.5232424891602593E-2</v>
      </c>
      <c r="Q538" s="56">
        <v>5.5232424891602593E-2</v>
      </c>
      <c r="R538" s="64"/>
      <c r="S538" s="68" t="s">
        <v>573</v>
      </c>
      <c r="T538" s="4" t="s">
        <v>574</v>
      </c>
      <c r="U538" s="1" t="s">
        <v>43</v>
      </c>
      <c r="V538" s="1" t="s">
        <v>48</v>
      </c>
      <c r="W538" s="25"/>
    </row>
    <row r="539" spans="1:23" ht="48.75" customHeight="1" thickBot="1" x14ac:dyDescent="0.3">
      <c r="A539" s="96" t="s">
        <v>56</v>
      </c>
      <c r="B539" s="26" t="s">
        <v>83</v>
      </c>
      <c r="C539" s="32">
        <v>1106</v>
      </c>
      <c r="D539" s="44" t="s">
        <v>1108</v>
      </c>
      <c r="E539" s="27" t="s">
        <v>1109</v>
      </c>
      <c r="F539" s="32" t="s">
        <v>46</v>
      </c>
      <c r="G539" s="44" t="s">
        <v>189</v>
      </c>
      <c r="H539" s="48" t="s">
        <v>36</v>
      </c>
      <c r="I539" s="97" t="s">
        <v>48</v>
      </c>
      <c r="J539" s="28" t="s">
        <v>10</v>
      </c>
      <c r="K539" s="48" t="s">
        <v>49</v>
      </c>
      <c r="L539" s="169">
        <v>7.9504088477265228E-4</v>
      </c>
      <c r="M539" s="29"/>
      <c r="N539" s="29"/>
      <c r="O539" s="29"/>
      <c r="P539" s="59">
        <v>7.9504088477265228E-4</v>
      </c>
      <c r="Q539" s="59">
        <v>7.9504088477265228E-4</v>
      </c>
      <c r="R539" s="65"/>
      <c r="S539" s="69" t="s">
        <v>573</v>
      </c>
      <c r="T539" s="31" t="s">
        <v>574</v>
      </c>
      <c r="U539" s="27" t="s">
        <v>43</v>
      </c>
      <c r="V539" s="27" t="s">
        <v>48</v>
      </c>
      <c r="W539" s="32"/>
    </row>
    <row r="540" spans="1:23" ht="57" customHeight="1" x14ac:dyDescent="0.25">
      <c r="A540" s="91" t="s">
        <v>56</v>
      </c>
      <c r="B540" s="18" t="s">
        <v>214</v>
      </c>
      <c r="C540" s="23">
        <v>1799</v>
      </c>
      <c r="D540" s="42" t="s">
        <v>1111</v>
      </c>
      <c r="E540" s="19" t="s">
        <v>1112</v>
      </c>
      <c r="F540" s="23" t="s">
        <v>22</v>
      </c>
      <c r="G540" s="42" t="s">
        <v>27</v>
      </c>
      <c r="H540" s="46" t="s">
        <v>39</v>
      </c>
      <c r="I540" s="42" t="s">
        <v>37</v>
      </c>
      <c r="J540" s="20" t="s">
        <v>38</v>
      </c>
      <c r="K540" s="46" t="s">
        <v>39</v>
      </c>
      <c r="L540" s="53"/>
      <c r="M540" s="21"/>
      <c r="N540" s="21"/>
      <c r="O540" s="21"/>
      <c r="P540" s="54">
        <v>4.7270000000000003</v>
      </c>
      <c r="Q540" s="54">
        <v>4.7270000000000003</v>
      </c>
      <c r="R540" s="63" t="s">
        <v>1113</v>
      </c>
      <c r="S540" s="67" t="s">
        <v>41</v>
      </c>
      <c r="T540" s="22" t="s">
        <v>42</v>
      </c>
      <c r="U540" s="19" t="s">
        <v>43</v>
      </c>
      <c r="V540" s="19"/>
      <c r="W540" s="23"/>
    </row>
    <row r="541" spans="1:23" ht="57" customHeight="1" x14ac:dyDescent="0.25">
      <c r="A541" s="92" t="s">
        <v>56</v>
      </c>
      <c r="B541" s="24" t="s">
        <v>214</v>
      </c>
      <c r="C541" s="25">
        <v>1799</v>
      </c>
      <c r="D541" s="43" t="s">
        <v>1114</v>
      </c>
      <c r="E541" s="1" t="s">
        <v>1115</v>
      </c>
      <c r="F541" s="25" t="s">
        <v>22</v>
      </c>
      <c r="G541" s="43" t="s">
        <v>230</v>
      </c>
      <c r="H541" s="47" t="s">
        <v>39</v>
      </c>
      <c r="I541" s="43" t="s">
        <v>28</v>
      </c>
      <c r="J541" s="2" t="s">
        <v>38</v>
      </c>
      <c r="K541" s="47" t="s">
        <v>39</v>
      </c>
      <c r="L541" s="57"/>
      <c r="M541" s="5"/>
      <c r="N541" s="5"/>
      <c r="O541" s="5"/>
      <c r="P541" s="56">
        <v>0.13200000000000001</v>
      </c>
      <c r="Q541" s="56">
        <v>0.13200000000000001</v>
      </c>
      <c r="R541" s="64"/>
      <c r="S541" s="68" t="s">
        <v>41</v>
      </c>
      <c r="T541" s="4" t="s">
        <v>42</v>
      </c>
      <c r="U541" s="1" t="s">
        <v>43</v>
      </c>
      <c r="V541" s="1"/>
      <c r="W541" s="25"/>
    </row>
    <row r="542" spans="1:23" ht="57" customHeight="1" x14ac:dyDescent="0.25">
      <c r="A542" s="92" t="s">
        <v>56</v>
      </c>
      <c r="B542" s="24" t="s">
        <v>214</v>
      </c>
      <c r="C542" s="25">
        <v>1799</v>
      </c>
      <c r="D542" s="43" t="s">
        <v>1116</v>
      </c>
      <c r="E542" s="1" t="s">
        <v>1117</v>
      </c>
      <c r="F542" s="25" t="s">
        <v>22</v>
      </c>
      <c r="G542" s="43" t="s">
        <v>566</v>
      </c>
      <c r="H542" s="47" t="s">
        <v>39</v>
      </c>
      <c r="I542" s="43" t="s">
        <v>24</v>
      </c>
      <c r="J542" s="2" t="s">
        <v>11</v>
      </c>
      <c r="K542" s="47" t="s">
        <v>120</v>
      </c>
      <c r="L542" s="57"/>
      <c r="M542" s="3">
        <v>3.9</v>
      </c>
      <c r="N542" s="3">
        <v>3.9</v>
      </c>
      <c r="O542" s="3">
        <v>0</v>
      </c>
      <c r="P542" s="56">
        <v>3.9</v>
      </c>
      <c r="Q542" s="56">
        <v>3.9</v>
      </c>
      <c r="R542" s="64"/>
      <c r="S542" s="68" t="s">
        <v>41</v>
      </c>
      <c r="T542" s="4" t="s">
        <v>42</v>
      </c>
      <c r="U542" s="1" t="s">
        <v>43</v>
      </c>
      <c r="V542" s="1"/>
      <c r="W542" s="25"/>
    </row>
    <row r="543" spans="1:23" ht="42.75" customHeight="1" x14ac:dyDescent="0.25">
      <c r="A543" s="92" t="s">
        <v>56</v>
      </c>
      <c r="B543" s="24" t="s">
        <v>214</v>
      </c>
      <c r="C543" s="25">
        <v>1799</v>
      </c>
      <c r="D543" s="43" t="s">
        <v>1118</v>
      </c>
      <c r="E543" s="1" t="s">
        <v>1119</v>
      </c>
      <c r="F543" s="25" t="s">
        <v>22</v>
      </c>
      <c r="G543" s="43" t="s">
        <v>196</v>
      </c>
      <c r="H543" s="47" t="s">
        <v>36</v>
      </c>
      <c r="I543" s="99" t="s">
        <v>192</v>
      </c>
      <c r="J543" s="2" t="s">
        <v>11</v>
      </c>
      <c r="K543" s="47" t="s">
        <v>151</v>
      </c>
      <c r="L543" s="57"/>
      <c r="M543" s="3">
        <v>0.2</v>
      </c>
      <c r="N543" s="3">
        <v>0.2</v>
      </c>
      <c r="O543" s="3">
        <v>0</v>
      </c>
      <c r="P543" s="56">
        <v>0.2</v>
      </c>
      <c r="Q543" s="56">
        <v>0.5</v>
      </c>
      <c r="R543" s="64"/>
      <c r="S543" s="68" t="s">
        <v>41</v>
      </c>
      <c r="T543" s="4" t="s">
        <v>42</v>
      </c>
      <c r="U543" s="1" t="s">
        <v>43</v>
      </c>
      <c r="V543" s="1"/>
      <c r="W543" s="25"/>
    </row>
    <row r="544" spans="1:23" ht="57" customHeight="1" x14ac:dyDescent="0.25">
      <c r="A544" s="92" t="s">
        <v>56</v>
      </c>
      <c r="B544" s="24" t="s">
        <v>214</v>
      </c>
      <c r="C544" s="25">
        <v>1799</v>
      </c>
      <c r="D544" s="43" t="s">
        <v>1120</v>
      </c>
      <c r="E544" s="1" t="s">
        <v>1121</v>
      </c>
      <c r="F544" s="25" t="s">
        <v>22</v>
      </c>
      <c r="G544" s="43" t="s">
        <v>183</v>
      </c>
      <c r="H544" s="47" t="s">
        <v>39</v>
      </c>
      <c r="I544" s="43" t="s">
        <v>30</v>
      </c>
      <c r="J544" s="2" t="s">
        <v>38</v>
      </c>
      <c r="K544" s="47" t="s">
        <v>39</v>
      </c>
      <c r="L544" s="57"/>
      <c r="M544" s="5"/>
      <c r="N544" s="5"/>
      <c r="O544" s="5"/>
      <c r="P544" s="56">
        <v>0.1</v>
      </c>
      <c r="Q544" s="56">
        <v>0.1</v>
      </c>
      <c r="R544" s="64"/>
      <c r="S544" s="68" t="s">
        <v>41</v>
      </c>
      <c r="T544" s="4" t="s">
        <v>42</v>
      </c>
      <c r="U544" s="1" t="s">
        <v>43</v>
      </c>
      <c r="V544" s="1"/>
      <c r="W544" s="25"/>
    </row>
    <row r="545" spans="1:23" ht="57" customHeight="1" x14ac:dyDescent="0.25">
      <c r="A545" s="92" t="s">
        <v>56</v>
      </c>
      <c r="B545" s="24" t="s">
        <v>214</v>
      </c>
      <c r="C545" s="25">
        <v>1799</v>
      </c>
      <c r="D545" s="43" t="s">
        <v>1122</v>
      </c>
      <c r="E545" s="1" t="s">
        <v>1123</v>
      </c>
      <c r="F545" s="25" t="s">
        <v>22</v>
      </c>
      <c r="G545" s="43" t="s">
        <v>27</v>
      </c>
      <c r="H545" s="47" t="s">
        <v>39</v>
      </c>
      <c r="I545" s="43" t="s">
        <v>37</v>
      </c>
      <c r="J545" s="2" t="s">
        <v>38</v>
      </c>
      <c r="K545" s="47" t="s">
        <v>39</v>
      </c>
      <c r="L545" s="57"/>
      <c r="M545" s="5"/>
      <c r="N545" s="5"/>
      <c r="O545" s="5"/>
      <c r="P545" s="56">
        <v>0.5</v>
      </c>
      <c r="Q545" s="56">
        <v>0.5</v>
      </c>
      <c r="R545" s="64" t="s">
        <v>1124</v>
      </c>
      <c r="S545" s="68" t="s">
        <v>41</v>
      </c>
      <c r="T545" s="4" t="s">
        <v>42</v>
      </c>
      <c r="U545" s="1" t="s">
        <v>43</v>
      </c>
      <c r="V545" s="1"/>
      <c r="W545" s="25"/>
    </row>
    <row r="546" spans="1:23" ht="57" customHeight="1" x14ac:dyDescent="0.25">
      <c r="A546" s="92" t="s">
        <v>56</v>
      </c>
      <c r="B546" s="24" t="s">
        <v>214</v>
      </c>
      <c r="C546" s="25">
        <v>1368</v>
      </c>
      <c r="D546" s="43" t="s">
        <v>1111</v>
      </c>
      <c r="E546" s="1" t="s">
        <v>1125</v>
      </c>
      <c r="F546" s="25" t="s">
        <v>26</v>
      </c>
      <c r="G546" s="43" t="s">
        <v>27</v>
      </c>
      <c r="H546" s="47" t="s">
        <v>39</v>
      </c>
      <c r="I546" s="43" t="s">
        <v>37</v>
      </c>
      <c r="J546" s="2" t="s">
        <v>38</v>
      </c>
      <c r="K546" s="47" t="s">
        <v>39</v>
      </c>
      <c r="L546" s="57"/>
      <c r="M546" s="5"/>
      <c r="N546" s="5"/>
      <c r="O546" s="5"/>
      <c r="P546" s="56">
        <v>1.7</v>
      </c>
      <c r="Q546" s="56">
        <v>1.7</v>
      </c>
      <c r="R546" s="64" t="s">
        <v>1124</v>
      </c>
      <c r="S546" s="68"/>
      <c r="T546" s="4" t="s">
        <v>249</v>
      </c>
      <c r="U546" s="1"/>
      <c r="V546" s="1"/>
      <c r="W546" s="25"/>
    </row>
    <row r="547" spans="1:23" ht="57.75" customHeight="1" thickBot="1" x14ac:dyDescent="0.3">
      <c r="A547" s="93" t="s">
        <v>56</v>
      </c>
      <c r="B547" s="26" t="s">
        <v>214</v>
      </c>
      <c r="C547" s="32">
        <v>1368</v>
      </c>
      <c r="D547" s="44" t="s">
        <v>1122</v>
      </c>
      <c r="E547" s="27" t="s">
        <v>1126</v>
      </c>
      <c r="F547" s="32" t="s">
        <v>26</v>
      </c>
      <c r="G547" s="44" t="s">
        <v>27</v>
      </c>
      <c r="H547" s="48" t="s">
        <v>39</v>
      </c>
      <c r="I547" s="44" t="s">
        <v>37</v>
      </c>
      <c r="J547" s="28" t="s">
        <v>38</v>
      </c>
      <c r="K547" s="48" t="s">
        <v>39</v>
      </c>
      <c r="L547" s="58"/>
      <c r="M547" s="29"/>
      <c r="N547" s="29"/>
      <c r="O547" s="29"/>
      <c r="P547" s="59">
        <v>0.6</v>
      </c>
      <c r="Q547" s="59">
        <v>0.6</v>
      </c>
      <c r="R547" s="65" t="s">
        <v>1124</v>
      </c>
      <c r="S547" s="69"/>
      <c r="T547" s="31" t="s">
        <v>249</v>
      </c>
      <c r="U547" s="27"/>
      <c r="V547" s="27"/>
      <c r="W547" s="32"/>
    </row>
    <row r="548" spans="1:23" ht="171" customHeight="1" x14ac:dyDescent="0.25">
      <c r="A548" s="91" t="s">
        <v>56</v>
      </c>
      <c r="B548" s="18" t="s">
        <v>102</v>
      </c>
      <c r="C548" s="23">
        <v>1253</v>
      </c>
      <c r="D548" s="42" t="s">
        <v>1127</v>
      </c>
      <c r="E548" s="19" t="s">
        <v>1128</v>
      </c>
      <c r="F548" s="23" t="s">
        <v>26</v>
      </c>
      <c r="G548" s="42" t="s">
        <v>27</v>
      </c>
      <c r="H548" s="46" t="s">
        <v>39</v>
      </c>
      <c r="I548" s="42" t="s">
        <v>28</v>
      </c>
      <c r="J548" s="20" t="s">
        <v>38</v>
      </c>
      <c r="K548" s="46" t="s">
        <v>39</v>
      </c>
      <c r="L548" s="53"/>
      <c r="M548" s="21"/>
      <c r="N548" s="21"/>
      <c r="O548" s="21"/>
      <c r="P548" s="54">
        <v>35.960083472702649</v>
      </c>
      <c r="Q548" s="54">
        <v>35.960083472702649</v>
      </c>
      <c r="R548" s="63" t="s">
        <v>1129</v>
      </c>
      <c r="S548" s="67" t="s">
        <v>41</v>
      </c>
      <c r="T548" s="22" t="s">
        <v>42</v>
      </c>
      <c r="U548" s="19" t="s">
        <v>43</v>
      </c>
      <c r="V548" s="19"/>
      <c r="W548" s="23"/>
    </row>
    <row r="549" spans="1:23" ht="71.25" customHeight="1" x14ac:dyDescent="0.25">
      <c r="A549" s="92" t="s">
        <v>56</v>
      </c>
      <c r="B549" s="24" t="s">
        <v>102</v>
      </c>
      <c r="C549" s="25">
        <v>1253</v>
      </c>
      <c r="D549" s="43" t="s">
        <v>1130</v>
      </c>
      <c r="E549" s="1" t="s">
        <v>1131</v>
      </c>
      <c r="F549" s="25" t="s">
        <v>26</v>
      </c>
      <c r="G549" s="43" t="s">
        <v>183</v>
      </c>
      <c r="H549" s="47" t="s">
        <v>39</v>
      </c>
      <c r="I549" s="43" t="s">
        <v>30</v>
      </c>
      <c r="J549" s="2" t="s">
        <v>38</v>
      </c>
      <c r="K549" s="47" t="s">
        <v>39</v>
      </c>
      <c r="L549" s="57"/>
      <c r="M549" s="5"/>
      <c r="N549" s="5"/>
      <c r="O549" s="5"/>
      <c r="P549" s="56">
        <v>0.39593639575971701</v>
      </c>
      <c r="Q549" s="56">
        <v>0.39593639575971701</v>
      </c>
      <c r="R549" s="64" t="s">
        <v>1132</v>
      </c>
      <c r="S549" s="68" t="s">
        <v>41</v>
      </c>
      <c r="T549" s="4" t="s">
        <v>42</v>
      </c>
      <c r="U549" s="1" t="s">
        <v>43</v>
      </c>
      <c r="V549" s="1"/>
      <c r="W549" s="25"/>
    </row>
    <row r="550" spans="1:23" ht="114" customHeight="1" x14ac:dyDescent="0.25">
      <c r="A550" s="92" t="s">
        <v>56</v>
      </c>
      <c r="B550" s="24" t="s">
        <v>102</v>
      </c>
      <c r="C550" s="25">
        <v>1253</v>
      </c>
      <c r="D550" s="43" t="s">
        <v>1133</v>
      </c>
      <c r="E550" s="1" t="s">
        <v>1134</v>
      </c>
      <c r="F550" s="25" t="s">
        <v>26</v>
      </c>
      <c r="G550" s="43" t="s">
        <v>566</v>
      </c>
      <c r="H550" s="47" t="s">
        <v>39</v>
      </c>
      <c r="I550" s="43" t="s">
        <v>28</v>
      </c>
      <c r="J550" s="2" t="s">
        <v>38</v>
      </c>
      <c r="K550" s="47" t="s">
        <v>39</v>
      </c>
      <c r="L550" s="57"/>
      <c r="M550" s="5"/>
      <c r="N550" s="5"/>
      <c r="O550" s="5"/>
      <c r="P550" s="56">
        <v>4.6996466431095403E-2</v>
      </c>
      <c r="Q550" s="56">
        <v>4.6996466431095403E-2</v>
      </c>
      <c r="R550" s="64" t="s">
        <v>1135</v>
      </c>
      <c r="S550" s="68" t="s">
        <v>41</v>
      </c>
      <c r="T550" s="4" t="s">
        <v>42</v>
      </c>
      <c r="U550" s="1" t="s">
        <v>43</v>
      </c>
      <c r="V550" s="1"/>
      <c r="W550" s="25"/>
    </row>
    <row r="551" spans="1:23" ht="57" customHeight="1" x14ac:dyDescent="0.25">
      <c r="A551" s="92" t="s">
        <v>56</v>
      </c>
      <c r="B551" s="24" t="s">
        <v>102</v>
      </c>
      <c r="C551" s="25">
        <v>1253</v>
      </c>
      <c r="D551" s="43" t="s">
        <v>1136</v>
      </c>
      <c r="E551" s="1" t="s">
        <v>1137</v>
      </c>
      <c r="F551" s="25" t="s">
        <v>26</v>
      </c>
      <c r="G551" s="43" t="s">
        <v>122</v>
      </c>
      <c r="H551" s="47" t="s">
        <v>119</v>
      </c>
      <c r="I551" s="43" t="s">
        <v>28</v>
      </c>
      <c r="J551" s="2" t="s">
        <v>38</v>
      </c>
      <c r="K551" s="47" t="s">
        <v>39</v>
      </c>
      <c r="L551" s="57"/>
      <c r="M551" s="5"/>
      <c r="N551" s="5"/>
      <c r="O551" s="5"/>
      <c r="P551" s="56">
        <v>0.17407665636042399</v>
      </c>
      <c r="Q551" s="56">
        <v>0.17407665636042399</v>
      </c>
      <c r="R551" s="64" t="s">
        <v>1138</v>
      </c>
      <c r="S551" s="68" t="s">
        <v>41</v>
      </c>
      <c r="T551" s="4" t="s">
        <v>42</v>
      </c>
      <c r="U551" s="1" t="s">
        <v>43</v>
      </c>
      <c r="V551" s="1"/>
      <c r="W551" s="25"/>
    </row>
    <row r="552" spans="1:23" ht="185.25" customHeight="1" x14ac:dyDescent="0.25">
      <c r="A552" s="174" t="s">
        <v>56</v>
      </c>
      <c r="B552" s="154" t="s">
        <v>102</v>
      </c>
      <c r="C552" s="155">
        <v>1253</v>
      </c>
      <c r="D552" s="156" t="s">
        <v>1197</v>
      </c>
      <c r="E552" s="157" t="s">
        <v>1198</v>
      </c>
      <c r="F552" s="155" t="s">
        <v>26</v>
      </c>
      <c r="G552" s="156" t="s">
        <v>47</v>
      </c>
      <c r="H552" s="158" t="s">
        <v>36</v>
      </c>
      <c r="I552" s="156" t="s">
        <v>676</v>
      </c>
      <c r="J552" s="160" t="s">
        <v>10</v>
      </c>
      <c r="K552" s="158" t="s">
        <v>151</v>
      </c>
      <c r="L552" s="167">
        <v>0.05</v>
      </c>
      <c r="M552" s="162"/>
      <c r="N552" s="162"/>
      <c r="O552" s="162"/>
      <c r="P552" s="163">
        <v>0</v>
      </c>
      <c r="Q552" s="163">
        <v>0</v>
      </c>
      <c r="R552" s="164" t="s">
        <v>1198</v>
      </c>
      <c r="S552" s="68" t="s">
        <v>41</v>
      </c>
      <c r="T552" s="4" t="s">
        <v>42</v>
      </c>
      <c r="U552" s="1" t="s">
        <v>43</v>
      </c>
      <c r="V552" s="157"/>
      <c r="W552" s="155"/>
    </row>
    <row r="553" spans="1:23" ht="57.75" customHeight="1" thickBot="1" x14ac:dyDescent="0.3">
      <c r="A553" s="93" t="s">
        <v>56</v>
      </c>
      <c r="B553" s="26" t="s">
        <v>102</v>
      </c>
      <c r="C553" s="32">
        <v>1253</v>
      </c>
      <c r="D553" s="44" t="s">
        <v>71</v>
      </c>
      <c r="E553" s="27" t="s">
        <v>1139</v>
      </c>
      <c r="F553" s="32" t="s">
        <v>26</v>
      </c>
      <c r="G553" s="44" t="s">
        <v>189</v>
      </c>
      <c r="H553" s="48" t="s">
        <v>36</v>
      </c>
      <c r="I553" s="97" t="s">
        <v>24</v>
      </c>
      <c r="J553" s="28" t="s">
        <v>11</v>
      </c>
      <c r="K553" s="48" t="s">
        <v>120</v>
      </c>
      <c r="L553" s="58"/>
      <c r="M553" s="30">
        <v>5.7494925914708457</v>
      </c>
      <c r="N553" s="30">
        <v>5.7494925914708457</v>
      </c>
      <c r="O553" s="30">
        <v>0</v>
      </c>
      <c r="P553" s="59">
        <v>5.7494925914708457</v>
      </c>
      <c r="Q553" s="59">
        <v>5.7494925914708457</v>
      </c>
      <c r="R553" s="65" t="s">
        <v>1140</v>
      </c>
      <c r="S553" s="69" t="s">
        <v>41</v>
      </c>
      <c r="T553" s="31" t="s">
        <v>42</v>
      </c>
      <c r="U553" s="27" t="s">
        <v>43</v>
      </c>
      <c r="V553" s="27"/>
      <c r="W553" s="32"/>
    </row>
    <row r="554" spans="1:23" ht="85.5" customHeight="1" x14ac:dyDescent="0.25">
      <c r="A554" s="94" t="s">
        <v>56</v>
      </c>
      <c r="B554" s="18" t="s">
        <v>213</v>
      </c>
      <c r="C554" s="23">
        <v>1129</v>
      </c>
      <c r="D554" s="42" t="s">
        <v>598</v>
      </c>
      <c r="E554" s="19" t="s">
        <v>1141</v>
      </c>
      <c r="F554" s="23" t="s">
        <v>22</v>
      </c>
      <c r="G554" s="42" t="s">
        <v>23</v>
      </c>
      <c r="H554" s="46" t="s">
        <v>36</v>
      </c>
      <c r="I554" s="42" t="s">
        <v>24</v>
      </c>
      <c r="J554" s="20" t="s">
        <v>11</v>
      </c>
      <c r="K554" s="46" t="s">
        <v>120</v>
      </c>
      <c r="L554" s="53"/>
      <c r="M554" s="98">
        <v>0.7</v>
      </c>
      <c r="N554" s="98">
        <v>0.7</v>
      </c>
      <c r="O554" s="98">
        <v>0</v>
      </c>
      <c r="P554" s="54">
        <v>0.7</v>
      </c>
      <c r="Q554" s="54">
        <v>0.7</v>
      </c>
      <c r="R554" s="63" t="s">
        <v>1142</v>
      </c>
      <c r="S554" s="67" t="s">
        <v>41</v>
      </c>
      <c r="T554" s="22" t="s">
        <v>42</v>
      </c>
      <c r="U554" s="19" t="s">
        <v>43</v>
      </c>
      <c r="V554" s="19" t="s">
        <v>24</v>
      </c>
      <c r="W554" s="23"/>
    </row>
    <row r="555" spans="1:23" ht="134.25" customHeight="1" x14ac:dyDescent="0.25">
      <c r="A555" s="95" t="s">
        <v>56</v>
      </c>
      <c r="B555" s="24" t="s">
        <v>213</v>
      </c>
      <c r="C555" s="25">
        <v>1129</v>
      </c>
      <c r="D555" s="43" t="s">
        <v>1143</v>
      </c>
      <c r="E555" s="1" t="s">
        <v>1144</v>
      </c>
      <c r="F555" s="25" t="s">
        <v>22</v>
      </c>
      <c r="G555" s="43" t="s">
        <v>23</v>
      </c>
      <c r="H555" s="47" t="s">
        <v>36</v>
      </c>
      <c r="I555" s="43" t="s">
        <v>24</v>
      </c>
      <c r="J555" s="2" t="s">
        <v>11</v>
      </c>
      <c r="K555" s="47" t="s">
        <v>120</v>
      </c>
      <c r="L555" s="57"/>
      <c r="M555" s="3">
        <v>0.5</v>
      </c>
      <c r="N555" s="3">
        <v>0.5</v>
      </c>
      <c r="O555" s="3">
        <v>0</v>
      </c>
      <c r="P555" s="56">
        <v>0.5</v>
      </c>
      <c r="Q555" s="56">
        <v>0.5</v>
      </c>
      <c r="R555" s="64" t="s">
        <v>1145</v>
      </c>
      <c r="S555" s="68" t="s">
        <v>41</v>
      </c>
      <c r="T555" s="4" t="s">
        <v>42</v>
      </c>
      <c r="U555" s="1" t="s">
        <v>43</v>
      </c>
      <c r="V555" s="1" t="s">
        <v>24</v>
      </c>
      <c r="W555" s="25"/>
    </row>
    <row r="556" spans="1:23" ht="99.75" customHeight="1" x14ac:dyDescent="0.25">
      <c r="A556" s="95" t="s">
        <v>56</v>
      </c>
      <c r="B556" s="24" t="s">
        <v>213</v>
      </c>
      <c r="C556" s="25">
        <v>1129</v>
      </c>
      <c r="D556" s="43" t="s">
        <v>1146</v>
      </c>
      <c r="E556" s="1" t="s">
        <v>1147</v>
      </c>
      <c r="F556" s="25" t="s">
        <v>22</v>
      </c>
      <c r="G556" s="43" t="s">
        <v>23</v>
      </c>
      <c r="H556" s="47" t="s">
        <v>36</v>
      </c>
      <c r="I556" s="43" t="s">
        <v>24</v>
      </c>
      <c r="J556" s="2" t="s">
        <v>11</v>
      </c>
      <c r="K556" s="47" t="s">
        <v>120</v>
      </c>
      <c r="L556" s="57"/>
      <c r="M556" s="3">
        <v>0.9</v>
      </c>
      <c r="N556" s="3">
        <v>0.9</v>
      </c>
      <c r="O556" s="3">
        <v>0</v>
      </c>
      <c r="P556" s="56">
        <v>0.9</v>
      </c>
      <c r="Q556" s="56">
        <v>0.9</v>
      </c>
      <c r="R556" s="64" t="s">
        <v>1148</v>
      </c>
      <c r="S556" s="68" t="s">
        <v>41</v>
      </c>
      <c r="T556" s="4" t="s">
        <v>42</v>
      </c>
      <c r="U556" s="1" t="s">
        <v>43</v>
      </c>
      <c r="V556" s="1" t="s">
        <v>24</v>
      </c>
      <c r="W556" s="25"/>
    </row>
    <row r="557" spans="1:23" ht="57" customHeight="1" x14ac:dyDescent="0.25">
      <c r="A557" s="95" t="s">
        <v>56</v>
      </c>
      <c r="B557" s="24" t="s">
        <v>213</v>
      </c>
      <c r="C557" s="25">
        <v>1129</v>
      </c>
      <c r="D557" s="43" t="s">
        <v>598</v>
      </c>
      <c r="E557" s="1" t="s">
        <v>1149</v>
      </c>
      <c r="F557" s="25" t="s">
        <v>22</v>
      </c>
      <c r="G557" s="43" t="s">
        <v>175</v>
      </c>
      <c r="H557" s="47" t="s">
        <v>36</v>
      </c>
      <c r="I557" s="43" t="s">
        <v>24</v>
      </c>
      <c r="J557" s="2" t="s">
        <v>11</v>
      </c>
      <c r="K557" s="47" t="s">
        <v>120</v>
      </c>
      <c r="L557" s="57"/>
      <c r="M557" s="3">
        <v>1.3</v>
      </c>
      <c r="N557" s="3">
        <v>1.3</v>
      </c>
      <c r="O557" s="3">
        <v>0</v>
      </c>
      <c r="P557" s="56">
        <v>1.3</v>
      </c>
      <c r="Q557" s="56">
        <v>1.3</v>
      </c>
      <c r="R557" s="64" t="s">
        <v>1150</v>
      </c>
      <c r="S557" s="68" t="s">
        <v>41</v>
      </c>
      <c r="T557" s="4" t="s">
        <v>42</v>
      </c>
      <c r="U557" s="1" t="s">
        <v>43</v>
      </c>
      <c r="V557" s="1" t="s">
        <v>24</v>
      </c>
      <c r="W557" s="25"/>
    </row>
    <row r="558" spans="1:23" ht="57" customHeight="1" x14ac:dyDescent="0.25">
      <c r="A558" s="95" t="s">
        <v>56</v>
      </c>
      <c r="B558" s="24" t="s">
        <v>213</v>
      </c>
      <c r="C558" s="25">
        <v>1129</v>
      </c>
      <c r="D558" s="43" t="s">
        <v>1143</v>
      </c>
      <c r="E558" s="1" t="s">
        <v>1151</v>
      </c>
      <c r="F558" s="25" t="s">
        <v>22</v>
      </c>
      <c r="G558" s="43" t="s">
        <v>175</v>
      </c>
      <c r="H558" s="47" t="s">
        <v>36</v>
      </c>
      <c r="I558" s="43" t="s">
        <v>24</v>
      </c>
      <c r="J558" s="2" t="s">
        <v>11</v>
      </c>
      <c r="K558" s="47" t="s">
        <v>120</v>
      </c>
      <c r="L558" s="57"/>
      <c r="M558" s="3">
        <v>1.4</v>
      </c>
      <c r="N558" s="3">
        <v>1.4</v>
      </c>
      <c r="O558" s="3">
        <v>0</v>
      </c>
      <c r="P558" s="56">
        <v>1.4</v>
      </c>
      <c r="Q558" s="56">
        <v>1.4</v>
      </c>
      <c r="R558" s="64" t="s">
        <v>1152</v>
      </c>
      <c r="S558" s="68" t="s">
        <v>41</v>
      </c>
      <c r="T558" s="4" t="s">
        <v>42</v>
      </c>
      <c r="U558" s="1" t="s">
        <v>43</v>
      </c>
      <c r="V558" s="1" t="s">
        <v>24</v>
      </c>
      <c r="W558" s="25"/>
    </row>
    <row r="559" spans="1:23" ht="57" customHeight="1" x14ac:dyDescent="0.25">
      <c r="A559" s="95" t="s">
        <v>56</v>
      </c>
      <c r="B559" s="24" t="s">
        <v>213</v>
      </c>
      <c r="C559" s="25">
        <v>1129</v>
      </c>
      <c r="D559" s="43" t="s">
        <v>1146</v>
      </c>
      <c r="E559" s="1" t="s">
        <v>1153</v>
      </c>
      <c r="F559" s="25" t="s">
        <v>22</v>
      </c>
      <c r="G559" s="43" t="s">
        <v>175</v>
      </c>
      <c r="H559" s="47" t="s">
        <v>36</v>
      </c>
      <c r="I559" s="43" t="s">
        <v>24</v>
      </c>
      <c r="J559" s="2" t="s">
        <v>11</v>
      </c>
      <c r="K559" s="47" t="s">
        <v>120</v>
      </c>
      <c r="L559" s="57"/>
      <c r="M559" s="3">
        <v>0.1</v>
      </c>
      <c r="N559" s="3">
        <v>0.1</v>
      </c>
      <c r="O559" s="3">
        <v>0</v>
      </c>
      <c r="P559" s="56">
        <v>0.1</v>
      </c>
      <c r="Q559" s="56">
        <v>0.1</v>
      </c>
      <c r="R559" s="64" t="s">
        <v>1154</v>
      </c>
      <c r="S559" s="68" t="s">
        <v>41</v>
      </c>
      <c r="T559" s="4" t="s">
        <v>42</v>
      </c>
      <c r="U559" s="1" t="s">
        <v>43</v>
      </c>
      <c r="V559" s="1" t="s">
        <v>24</v>
      </c>
      <c r="W559" s="25"/>
    </row>
    <row r="560" spans="1:23" ht="85.5" customHeight="1" x14ac:dyDescent="0.25">
      <c r="A560" s="95" t="s">
        <v>56</v>
      </c>
      <c r="B560" s="24" t="s">
        <v>213</v>
      </c>
      <c r="C560" s="25">
        <v>1129</v>
      </c>
      <c r="D560" s="43" t="s">
        <v>624</v>
      </c>
      <c r="E560" s="1" t="s">
        <v>1155</v>
      </c>
      <c r="F560" s="25" t="s">
        <v>26</v>
      </c>
      <c r="G560" s="43" t="s">
        <v>155</v>
      </c>
      <c r="H560" s="47" t="s">
        <v>39</v>
      </c>
      <c r="I560" s="43" t="s">
        <v>37</v>
      </c>
      <c r="J560" s="2" t="s">
        <v>38</v>
      </c>
      <c r="K560" s="47" t="s">
        <v>39</v>
      </c>
      <c r="L560" s="57"/>
      <c r="M560" s="5"/>
      <c r="N560" s="5"/>
      <c r="O560" s="5"/>
      <c r="P560" s="56">
        <v>0.9</v>
      </c>
      <c r="Q560" s="56">
        <v>0.9</v>
      </c>
      <c r="R560" s="64" t="s">
        <v>1156</v>
      </c>
      <c r="S560" s="68" t="s">
        <v>41</v>
      </c>
      <c r="T560" s="4" t="s">
        <v>42</v>
      </c>
      <c r="U560" s="1" t="s">
        <v>43</v>
      </c>
      <c r="V560" s="1" t="s">
        <v>37</v>
      </c>
      <c r="W560" s="25"/>
    </row>
    <row r="561" spans="1:23" ht="57" customHeight="1" x14ac:dyDescent="0.25">
      <c r="A561" s="95" t="s">
        <v>56</v>
      </c>
      <c r="B561" s="24" t="s">
        <v>213</v>
      </c>
      <c r="C561" s="25">
        <v>1129</v>
      </c>
      <c r="D561" s="43" t="s">
        <v>976</v>
      </c>
      <c r="E561" s="1" t="s">
        <v>1157</v>
      </c>
      <c r="F561" s="25" t="s">
        <v>26</v>
      </c>
      <c r="G561" s="43" t="s">
        <v>356</v>
      </c>
      <c r="H561" s="47" t="s">
        <v>39</v>
      </c>
      <c r="I561" s="43" t="s">
        <v>245</v>
      </c>
      <c r="J561" s="2" t="s">
        <v>38</v>
      </c>
      <c r="K561" s="47" t="s">
        <v>39</v>
      </c>
      <c r="L561" s="57"/>
      <c r="M561" s="5"/>
      <c r="N561" s="5"/>
      <c r="O561" s="5"/>
      <c r="P561" s="56">
        <v>0.8</v>
      </c>
      <c r="Q561" s="56">
        <v>0.8</v>
      </c>
      <c r="R561" s="64" t="s">
        <v>1158</v>
      </c>
      <c r="S561" s="68" t="s">
        <v>41</v>
      </c>
      <c r="T561" s="4" t="s">
        <v>42</v>
      </c>
      <c r="U561" s="1" t="s">
        <v>43</v>
      </c>
      <c r="V561" s="1" t="s">
        <v>245</v>
      </c>
      <c r="W561" s="25"/>
    </row>
    <row r="562" spans="1:23" ht="57" customHeight="1" x14ac:dyDescent="0.25">
      <c r="A562" s="95" t="s">
        <v>56</v>
      </c>
      <c r="B562" s="24" t="s">
        <v>213</v>
      </c>
      <c r="C562" s="25">
        <v>1129</v>
      </c>
      <c r="D562" s="43" t="s">
        <v>1159</v>
      </c>
      <c r="E562" s="1" t="s">
        <v>1160</v>
      </c>
      <c r="F562" s="25" t="s">
        <v>26</v>
      </c>
      <c r="G562" s="43" t="s">
        <v>161</v>
      </c>
      <c r="H562" s="47" t="s">
        <v>39</v>
      </c>
      <c r="I562" s="43" t="s">
        <v>247</v>
      </c>
      <c r="J562" s="2" t="s">
        <v>38</v>
      </c>
      <c r="K562" s="47" t="s">
        <v>39</v>
      </c>
      <c r="L562" s="57"/>
      <c r="M562" s="5"/>
      <c r="N562" s="5"/>
      <c r="O562" s="5"/>
      <c r="P562" s="56">
        <v>0.3</v>
      </c>
      <c r="Q562" s="56">
        <v>0.3</v>
      </c>
      <c r="R562" s="64" t="s">
        <v>1161</v>
      </c>
      <c r="S562" s="68" t="s">
        <v>41</v>
      </c>
      <c r="T562" s="4" t="s">
        <v>42</v>
      </c>
      <c r="U562" s="1" t="s">
        <v>43</v>
      </c>
      <c r="V562" s="1" t="s">
        <v>247</v>
      </c>
      <c r="W562" s="25"/>
    </row>
    <row r="563" spans="1:23" ht="57" customHeight="1" x14ac:dyDescent="0.25">
      <c r="A563" s="95" t="s">
        <v>56</v>
      </c>
      <c r="B563" s="24" t="s">
        <v>213</v>
      </c>
      <c r="C563" s="25">
        <v>1129</v>
      </c>
      <c r="D563" s="43" t="s">
        <v>1162</v>
      </c>
      <c r="E563" s="1" t="s">
        <v>1163</v>
      </c>
      <c r="F563" s="25" t="s">
        <v>26</v>
      </c>
      <c r="G563" s="43" t="s">
        <v>27</v>
      </c>
      <c r="H563" s="47" t="s">
        <v>39</v>
      </c>
      <c r="I563" s="43" t="s">
        <v>28</v>
      </c>
      <c r="J563" s="2" t="s">
        <v>38</v>
      </c>
      <c r="K563" s="47" t="s">
        <v>39</v>
      </c>
      <c r="L563" s="57"/>
      <c r="M563" s="5"/>
      <c r="N563" s="5"/>
      <c r="O563" s="5"/>
      <c r="P563" s="56">
        <v>0.2</v>
      </c>
      <c r="Q563" s="56">
        <v>0.2</v>
      </c>
      <c r="R563" s="64" t="s">
        <v>1164</v>
      </c>
      <c r="S563" s="68" t="s">
        <v>41</v>
      </c>
      <c r="T563" s="4" t="s">
        <v>42</v>
      </c>
      <c r="U563" s="1" t="s">
        <v>43</v>
      </c>
      <c r="V563" s="1" t="s">
        <v>28</v>
      </c>
      <c r="W563" s="25"/>
    </row>
    <row r="564" spans="1:23" ht="57" customHeight="1" x14ac:dyDescent="0.25">
      <c r="A564" s="95" t="s">
        <v>56</v>
      </c>
      <c r="B564" s="24" t="s">
        <v>213</v>
      </c>
      <c r="C564" s="25">
        <v>1129</v>
      </c>
      <c r="D564" s="43" t="s">
        <v>1162</v>
      </c>
      <c r="E564" s="1" t="s">
        <v>1165</v>
      </c>
      <c r="F564" s="25" t="s">
        <v>26</v>
      </c>
      <c r="G564" s="43" t="s">
        <v>166</v>
      </c>
      <c r="H564" s="47" t="s">
        <v>39</v>
      </c>
      <c r="I564" s="43" t="s">
        <v>28</v>
      </c>
      <c r="J564" s="2" t="s">
        <v>38</v>
      </c>
      <c r="K564" s="47" t="s">
        <v>39</v>
      </c>
      <c r="L564" s="57"/>
      <c r="M564" s="5"/>
      <c r="N564" s="5"/>
      <c r="O564" s="5"/>
      <c r="P564" s="56">
        <v>12.5</v>
      </c>
      <c r="Q564" s="56">
        <v>12.5</v>
      </c>
      <c r="R564" s="64" t="s">
        <v>1166</v>
      </c>
      <c r="S564" s="68" t="s">
        <v>41</v>
      </c>
      <c r="T564" s="4" t="s">
        <v>42</v>
      </c>
      <c r="U564" s="1" t="s">
        <v>43</v>
      </c>
      <c r="V564" s="1" t="s">
        <v>28</v>
      </c>
      <c r="W564" s="25"/>
    </row>
    <row r="565" spans="1:23" ht="57" customHeight="1" x14ac:dyDescent="0.25">
      <c r="A565" s="95" t="s">
        <v>56</v>
      </c>
      <c r="B565" s="24" t="s">
        <v>213</v>
      </c>
      <c r="C565" s="25">
        <v>1129</v>
      </c>
      <c r="D565" s="43" t="s">
        <v>1167</v>
      </c>
      <c r="E565" s="1" t="s">
        <v>1168</v>
      </c>
      <c r="F565" s="25" t="s">
        <v>26</v>
      </c>
      <c r="G565" s="43" t="s">
        <v>166</v>
      </c>
      <c r="H565" s="47" t="s">
        <v>39</v>
      </c>
      <c r="I565" s="43" t="s">
        <v>37</v>
      </c>
      <c r="J565" s="2" t="s">
        <v>38</v>
      </c>
      <c r="K565" s="47" t="s">
        <v>39</v>
      </c>
      <c r="L565" s="57"/>
      <c r="M565" s="5"/>
      <c r="N565" s="5"/>
      <c r="O565" s="5"/>
      <c r="P565" s="56">
        <v>1.4</v>
      </c>
      <c r="Q565" s="56">
        <v>1.4</v>
      </c>
      <c r="R565" s="64" t="s">
        <v>1169</v>
      </c>
      <c r="S565" s="68" t="s">
        <v>41</v>
      </c>
      <c r="T565" s="4" t="s">
        <v>42</v>
      </c>
      <c r="U565" s="1" t="s">
        <v>43</v>
      </c>
      <c r="V565" s="1" t="s">
        <v>37</v>
      </c>
      <c r="W565" s="25"/>
    </row>
    <row r="566" spans="1:23" ht="57" customHeight="1" x14ac:dyDescent="0.25">
      <c r="A566" s="95" t="s">
        <v>56</v>
      </c>
      <c r="B566" s="24" t="s">
        <v>213</v>
      </c>
      <c r="C566" s="25">
        <v>1129</v>
      </c>
      <c r="D566" s="43" t="s">
        <v>826</v>
      </c>
      <c r="E566" s="1" t="s">
        <v>1170</v>
      </c>
      <c r="F566" s="25" t="s">
        <v>26</v>
      </c>
      <c r="G566" s="43" t="s">
        <v>166</v>
      </c>
      <c r="H566" s="47" t="s">
        <v>39</v>
      </c>
      <c r="I566" s="43" t="s">
        <v>28</v>
      </c>
      <c r="J566" s="2" t="s">
        <v>38</v>
      </c>
      <c r="K566" s="47" t="s">
        <v>39</v>
      </c>
      <c r="L566" s="57"/>
      <c r="M566" s="5"/>
      <c r="N566" s="5"/>
      <c r="O566" s="5"/>
      <c r="P566" s="56">
        <v>0.9</v>
      </c>
      <c r="Q566" s="56">
        <v>0.9</v>
      </c>
      <c r="R566" s="64" t="s">
        <v>1171</v>
      </c>
      <c r="S566" s="68" t="s">
        <v>41</v>
      </c>
      <c r="T566" s="4" t="s">
        <v>42</v>
      </c>
      <c r="U566" s="1" t="s">
        <v>43</v>
      </c>
      <c r="V566" s="1" t="s">
        <v>28</v>
      </c>
      <c r="W566" s="25"/>
    </row>
    <row r="567" spans="1:23" ht="57.75" customHeight="1" thickBot="1" x14ac:dyDescent="0.3">
      <c r="A567" s="96" t="s">
        <v>56</v>
      </c>
      <c r="B567" s="26" t="s">
        <v>213</v>
      </c>
      <c r="C567" s="32">
        <v>1129</v>
      </c>
      <c r="D567" s="44" t="s">
        <v>826</v>
      </c>
      <c r="E567" s="27" t="s">
        <v>1172</v>
      </c>
      <c r="F567" s="32" t="s">
        <v>22</v>
      </c>
      <c r="G567" s="44" t="s">
        <v>242</v>
      </c>
      <c r="H567" s="48" t="s">
        <v>39</v>
      </c>
      <c r="I567" s="44" t="s">
        <v>24</v>
      </c>
      <c r="J567" s="28" t="s">
        <v>11</v>
      </c>
      <c r="K567" s="48" t="s">
        <v>120</v>
      </c>
      <c r="L567" s="58"/>
      <c r="M567" s="30">
        <v>0.4</v>
      </c>
      <c r="N567" s="30">
        <v>0.4</v>
      </c>
      <c r="O567" s="30">
        <v>0</v>
      </c>
      <c r="P567" s="59">
        <v>0.4</v>
      </c>
      <c r="Q567" s="59">
        <v>0.4</v>
      </c>
      <c r="R567" s="65" t="s">
        <v>1173</v>
      </c>
      <c r="S567" s="69" t="s">
        <v>41</v>
      </c>
      <c r="T567" s="31" t="s">
        <v>42</v>
      </c>
      <c r="U567" s="27" t="s">
        <v>43</v>
      </c>
      <c r="V567" s="27" t="s">
        <v>24</v>
      </c>
      <c r="W567" s="32"/>
    </row>
    <row r="568" spans="1:23" ht="57" customHeight="1" x14ac:dyDescent="0.25">
      <c r="A568" s="94" t="s">
        <v>56</v>
      </c>
      <c r="B568" s="18" t="s">
        <v>217</v>
      </c>
      <c r="C568" s="23">
        <v>1279</v>
      </c>
      <c r="D568" s="42" t="s">
        <v>39</v>
      </c>
      <c r="E568" s="19" t="s">
        <v>1195</v>
      </c>
      <c r="F568" s="23" t="s">
        <v>26</v>
      </c>
      <c r="G568" s="42" t="s">
        <v>155</v>
      </c>
      <c r="H568" s="46" t="s">
        <v>39</v>
      </c>
      <c r="I568" s="100" t="s">
        <v>37</v>
      </c>
      <c r="J568" s="20" t="s">
        <v>38</v>
      </c>
      <c r="K568" s="46" t="s">
        <v>39</v>
      </c>
      <c r="L568" s="53"/>
      <c r="M568" s="21"/>
      <c r="N568" s="21"/>
      <c r="O568" s="21"/>
      <c r="P568" s="54"/>
      <c r="Q568" s="54"/>
      <c r="R568" s="63" t="s">
        <v>1174</v>
      </c>
      <c r="S568" s="67" t="s">
        <v>41</v>
      </c>
      <c r="T568" s="22" t="s">
        <v>42</v>
      </c>
      <c r="U568" s="19" t="s">
        <v>43</v>
      </c>
      <c r="V568" s="19"/>
      <c r="W568" s="23"/>
    </row>
    <row r="569" spans="1:23" ht="57" customHeight="1" x14ac:dyDescent="0.25">
      <c r="A569" s="103" t="s">
        <v>56</v>
      </c>
      <c r="B569" s="38" t="s">
        <v>217</v>
      </c>
      <c r="C569" s="39">
        <v>1279</v>
      </c>
      <c r="D569" s="45" t="s">
        <v>39</v>
      </c>
      <c r="E569" s="172" t="s">
        <v>1196</v>
      </c>
      <c r="F569" s="39" t="s">
        <v>22</v>
      </c>
      <c r="G569" s="45" t="s">
        <v>155</v>
      </c>
      <c r="H569" s="49" t="s">
        <v>39</v>
      </c>
      <c r="I569" s="99" t="s">
        <v>24</v>
      </c>
      <c r="J569" s="2" t="s">
        <v>11</v>
      </c>
      <c r="K569" s="47" t="s">
        <v>120</v>
      </c>
      <c r="L569" s="170"/>
      <c r="M569" s="173">
        <v>15</v>
      </c>
      <c r="N569" s="173">
        <v>15</v>
      </c>
      <c r="O569" s="173">
        <v>0</v>
      </c>
      <c r="P569" s="61"/>
      <c r="Q569" s="61"/>
      <c r="R569" s="66" t="s">
        <v>1174</v>
      </c>
      <c r="S569" s="70" t="s">
        <v>41</v>
      </c>
      <c r="T569" s="171" t="s">
        <v>42</v>
      </c>
      <c r="U569" s="16" t="s">
        <v>43</v>
      </c>
      <c r="V569" s="16"/>
      <c r="W569" s="39"/>
    </row>
    <row r="570" spans="1:23" ht="57" customHeight="1" x14ac:dyDescent="0.25">
      <c r="A570" s="95" t="s">
        <v>56</v>
      </c>
      <c r="B570" s="24" t="s">
        <v>217</v>
      </c>
      <c r="C570" s="25">
        <v>1279</v>
      </c>
      <c r="D570" s="43" t="s">
        <v>39</v>
      </c>
      <c r="E570" s="1" t="s">
        <v>1175</v>
      </c>
      <c r="F570" s="25" t="s">
        <v>26</v>
      </c>
      <c r="G570" s="43" t="s">
        <v>183</v>
      </c>
      <c r="H570" s="47" t="s">
        <v>39</v>
      </c>
      <c r="I570" s="43" t="s">
        <v>30</v>
      </c>
      <c r="J570" s="2" t="s">
        <v>38</v>
      </c>
      <c r="K570" s="47" t="s">
        <v>39</v>
      </c>
      <c r="L570" s="57"/>
      <c r="M570" s="5"/>
      <c r="N570" s="5"/>
      <c r="O570" s="5"/>
      <c r="P570" s="56"/>
      <c r="Q570" s="56"/>
      <c r="R570" s="64" t="s">
        <v>1174</v>
      </c>
      <c r="S570" s="68" t="s">
        <v>41</v>
      </c>
      <c r="T570" s="4" t="s">
        <v>42</v>
      </c>
      <c r="U570" s="1" t="s">
        <v>43</v>
      </c>
      <c r="V570" s="1"/>
      <c r="W570" s="25"/>
    </row>
    <row r="571" spans="1:23" ht="57" customHeight="1" x14ac:dyDescent="0.25">
      <c r="A571" s="95" t="s">
        <v>56</v>
      </c>
      <c r="B571" s="24" t="s">
        <v>217</v>
      </c>
      <c r="C571" s="25">
        <v>1279</v>
      </c>
      <c r="D571" s="43" t="s">
        <v>39</v>
      </c>
      <c r="E571" s="1" t="s">
        <v>1176</v>
      </c>
      <c r="F571" s="25" t="s">
        <v>26</v>
      </c>
      <c r="G571" s="43" t="s">
        <v>27</v>
      </c>
      <c r="H571" s="47" t="s">
        <v>39</v>
      </c>
      <c r="I571" s="43" t="s">
        <v>28</v>
      </c>
      <c r="J571" s="2" t="s">
        <v>38</v>
      </c>
      <c r="K571" s="47" t="s">
        <v>39</v>
      </c>
      <c r="L571" s="57"/>
      <c r="M571" s="5"/>
      <c r="N571" s="5"/>
      <c r="O571" s="5"/>
      <c r="P571" s="56"/>
      <c r="Q571" s="56"/>
      <c r="R571" s="64" t="s">
        <v>1174</v>
      </c>
      <c r="S571" s="68" t="s">
        <v>41</v>
      </c>
      <c r="T571" s="4" t="s">
        <v>42</v>
      </c>
      <c r="U571" s="1" t="s">
        <v>43</v>
      </c>
      <c r="V571" s="1"/>
      <c r="W571" s="25"/>
    </row>
    <row r="572" spans="1:23" ht="57" customHeight="1" x14ac:dyDescent="0.25">
      <c r="A572" s="95" t="s">
        <v>56</v>
      </c>
      <c r="B572" s="24" t="s">
        <v>217</v>
      </c>
      <c r="C572" s="25">
        <v>1279</v>
      </c>
      <c r="D572" s="43" t="s">
        <v>39</v>
      </c>
      <c r="E572" s="1" t="s">
        <v>120</v>
      </c>
      <c r="F572" s="25" t="s">
        <v>26</v>
      </c>
      <c r="G572" s="43" t="s">
        <v>29</v>
      </c>
      <c r="H572" s="47" t="s">
        <v>39</v>
      </c>
      <c r="I572" s="99" t="s">
        <v>24</v>
      </c>
      <c r="J572" s="2" t="s">
        <v>11</v>
      </c>
      <c r="K572" s="47" t="s">
        <v>120</v>
      </c>
      <c r="L572" s="57"/>
      <c r="M572" s="3">
        <v>5</v>
      </c>
      <c r="N572" s="3">
        <v>5</v>
      </c>
      <c r="O572" s="3">
        <v>0</v>
      </c>
      <c r="P572" s="56"/>
      <c r="Q572" s="56"/>
      <c r="R572" s="64" t="s">
        <v>1174</v>
      </c>
      <c r="S572" s="68" t="s">
        <v>41</v>
      </c>
      <c r="T572" s="4" t="s">
        <v>42</v>
      </c>
      <c r="U572" s="1" t="s">
        <v>43</v>
      </c>
      <c r="V572" s="1"/>
      <c r="W572" s="25"/>
    </row>
    <row r="573" spans="1:23" ht="57" customHeight="1" x14ac:dyDescent="0.25">
      <c r="A573" s="95" t="s">
        <v>56</v>
      </c>
      <c r="B573" s="24" t="s">
        <v>217</v>
      </c>
      <c r="C573" s="25">
        <v>1279</v>
      </c>
      <c r="D573" s="43" t="s">
        <v>39</v>
      </c>
      <c r="E573" s="1" t="s">
        <v>1177</v>
      </c>
      <c r="F573" s="25" t="s">
        <v>26</v>
      </c>
      <c r="G573" s="43" t="s">
        <v>166</v>
      </c>
      <c r="H573" s="47" t="s">
        <v>39</v>
      </c>
      <c r="I573" s="43" t="s">
        <v>247</v>
      </c>
      <c r="J573" s="2" t="s">
        <v>38</v>
      </c>
      <c r="K573" s="47" t="s">
        <v>39</v>
      </c>
      <c r="L573" s="57"/>
      <c r="M573" s="5"/>
      <c r="N573" s="5"/>
      <c r="O573" s="5"/>
      <c r="P573" s="56"/>
      <c r="Q573" s="56"/>
      <c r="R573" s="64" t="s">
        <v>1174</v>
      </c>
      <c r="S573" s="68" t="s">
        <v>41</v>
      </c>
      <c r="T573" s="4" t="s">
        <v>42</v>
      </c>
      <c r="U573" s="1" t="s">
        <v>43</v>
      </c>
      <c r="V573" s="1"/>
      <c r="W573" s="25"/>
    </row>
    <row r="574" spans="1:23" ht="57" customHeight="1" x14ac:dyDescent="0.25">
      <c r="A574" s="95" t="s">
        <v>56</v>
      </c>
      <c r="B574" s="24" t="s">
        <v>217</v>
      </c>
      <c r="C574" s="25">
        <v>1279</v>
      </c>
      <c r="D574" s="43" t="s">
        <v>39</v>
      </c>
      <c r="E574" s="1" t="s">
        <v>1178</v>
      </c>
      <c r="F574" s="25" t="s">
        <v>26</v>
      </c>
      <c r="G574" s="43" t="s">
        <v>497</v>
      </c>
      <c r="H574" s="47" t="s">
        <v>39</v>
      </c>
      <c r="I574" s="43" t="s">
        <v>28</v>
      </c>
      <c r="J574" s="2" t="s">
        <v>38</v>
      </c>
      <c r="K574" s="47" t="s">
        <v>39</v>
      </c>
      <c r="L574" s="57"/>
      <c r="M574" s="5"/>
      <c r="N574" s="5"/>
      <c r="O574" s="5"/>
      <c r="P574" s="56"/>
      <c r="Q574" s="56"/>
      <c r="R574" s="64" t="s">
        <v>1174</v>
      </c>
      <c r="S574" s="68" t="s">
        <v>41</v>
      </c>
      <c r="T574" s="4" t="s">
        <v>42</v>
      </c>
      <c r="U574" s="1" t="s">
        <v>43</v>
      </c>
      <c r="V574" s="1"/>
      <c r="W574" s="25"/>
    </row>
    <row r="575" spans="1:23" ht="57" customHeight="1" x14ac:dyDescent="0.25">
      <c r="A575" s="95" t="s">
        <v>56</v>
      </c>
      <c r="B575" s="24" t="s">
        <v>217</v>
      </c>
      <c r="C575" s="25">
        <v>1279</v>
      </c>
      <c r="D575" s="43" t="s">
        <v>39</v>
      </c>
      <c r="E575" s="1" t="s">
        <v>1179</v>
      </c>
      <c r="F575" s="25" t="s">
        <v>26</v>
      </c>
      <c r="G575" s="43" t="s">
        <v>242</v>
      </c>
      <c r="H575" s="47" t="s">
        <v>39</v>
      </c>
      <c r="I575" s="43" t="s">
        <v>37</v>
      </c>
      <c r="J575" s="2" t="s">
        <v>38</v>
      </c>
      <c r="K575" s="47" t="s">
        <v>39</v>
      </c>
      <c r="L575" s="57"/>
      <c r="M575" s="5"/>
      <c r="N575" s="5"/>
      <c r="O575" s="5"/>
      <c r="P575" s="56"/>
      <c r="Q575" s="56"/>
      <c r="R575" s="64" t="s">
        <v>1174</v>
      </c>
      <c r="S575" s="68" t="s">
        <v>41</v>
      </c>
      <c r="T575" s="4" t="s">
        <v>42</v>
      </c>
      <c r="U575" s="1" t="s">
        <v>43</v>
      </c>
      <c r="V575" s="1"/>
      <c r="W575" s="25"/>
    </row>
    <row r="576" spans="1:23" ht="57" customHeight="1" x14ac:dyDescent="0.25">
      <c r="A576" s="95" t="s">
        <v>56</v>
      </c>
      <c r="B576" s="24" t="s">
        <v>217</v>
      </c>
      <c r="C576" s="25">
        <v>1279</v>
      </c>
      <c r="D576" s="43" t="s">
        <v>39</v>
      </c>
      <c r="E576" s="1" t="s">
        <v>1180</v>
      </c>
      <c r="F576" s="25" t="s">
        <v>26</v>
      </c>
      <c r="G576" s="43" t="s">
        <v>230</v>
      </c>
      <c r="H576" s="47" t="s">
        <v>39</v>
      </c>
      <c r="I576" s="43" t="s">
        <v>28</v>
      </c>
      <c r="J576" s="2" t="s">
        <v>38</v>
      </c>
      <c r="K576" s="47" t="s">
        <v>39</v>
      </c>
      <c r="L576" s="57"/>
      <c r="M576" s="5"/>
      <c r="N576" s="5"/>
      <c r="O576" s="5"/>
      <c r="P576" s="56"/>
      <c r="Q576" s="56"/>
      <c r="R576" s="64" t="s">
        <v>1174</v>
      </c>
      <c r="S576" s="68" t="s">
        <v>41</v>
      </c>
      <c r="T576" s="4" t="s">
        <v>42</v>
      </c>
      <c r="U576" s="1" t="s">
        <v>43</v>
      </c>
      <c r="V576" s="1"/>
      <c r="W576" s="25"/>
    </row>
    <row r="577" spans="1:23" ht="42.75" customHeight="1" x14ac:dyDescent="0.25">
      <c r="A577" s="95" t="s">
        <v>56</v>
      </c>
      <c r="B577" s="24" t="s">
        <v>217</v>
      </c>
      <c r="C577" s="25">
        <v>1279</v>
      </c>
      <c r="D577" s="43" t="s">
        <v>36</v>
      </c>
      <c r="E577" s="1" t="s">
        <v>1181</v>
      </c>
      <c r="F577" s="25" t="s">
        <v>22</v>
      </c>
      <c r="G577" s="43" t="s">
        <v>23</v>
      </c>
      <c r="H577" s="47" t="s">
        <v>36</v>
      </c>
      <c r="I577" s="99" t="s">
        <v>24</v>
      </c>
      <c r="J577" s="2" t="s">
        <v>11</v>
      </c>
      <c r="K577" s="47" t="s">
        <v>120</v>
      </c>
      <c r="L577" s="57"/>
      <c r="M577" s="3">
        <v>16.7</v>
      </c>
      <c r="N577" s="3">
        <v>16.7</v>
      </c>
      <c r="O577" s="3">
        <v>0</v>
      </c>
      <c r="P577" s="56">
        <v>16.7</v>
      </c>
      <c r="Q577" s="56">
        <v>16.7</v>
      </c>
      <c r="R577" s="64" t="s">
        <v>1174</v>
      </c>
      <c r="S577" s="68" t="s">
        <v>41</v>
      </c>
      <c r="T577" s="4" t="s">
        <v>42</v>
      </c>
      <c r="U577" s="1" t="s">
        <v>159</v>
      </c>
      <c r="V577" s="1"/>
      <c r="W577" s="25"/>
    </row>
    <row r="578" spans="1:23" ht="42.75" customHeight="1" x14ac:dyDescent="0.25">
      <c r="A578" s="95" t="s">
        <v>56</v>
      </c>
      <c r="B578" s="24" t="s">
        <v>217</v>
      </c>
      <c r="C578" s="25">
        <v>1279</v>
      </c>
      <c r="D578" s="43" t="s">
        <v>36</v>
      </c>
      <c r="E578" s="1" t="s">
        <v>1242</v>
      </c>
      <c r="F578" s="25" t="s">
        <v>22</v>
      </c>
      <c r="G578" s="43" t="s">
        <v>175</v>
      </c>
      <c r="H578" s="47" t="s">
        <v>36</v>
      </c>
      <c r="I578" s="99" t="s">
        <v>397</v>
      </c>
      <c r="J578" s="2" t="s">
        <v>11</v>
      </c>
      <c r="K578" s="47" t="s">
        <v>49</v>
      </c>
      <c r="L578" s="57"/>
      <c r="M578" s="3">
        <v>0.1</v>
      </c>
      <c r="N578" s="3">
        <v>0.1</v>
      </c>
      <c r="O578" s="3">
        <v>0</v>
      </c>
      <c r="P578" s="56">
        <v>0.1</v>
      </c>
      <c r="Q578" s="56">
        <v>0.1</v>
      </c>
      <c r="R578" s="64" t="s">
        <v>1174</v>
      </c>
      <c r="S578" s="68" t="s">
        <v>41</v>
      </c>
      <c r="T578" s="4" t="s">
        <v>42</v>
      </c>
      <c r="U578" s="1" t="s">
        <v>43</v>
      </c>
      <c r="V578" s="1"/>
      <c r="W578" s="25"/>
    </row>
    <row r="579" spans="1:23" ht="128.25" x14ac:dyDescent="0.25">
      <c r="A579" s="95" t="s">
        <v>56</v>
      </c>
      <c r="B579" s="24" t="s">
        <v>217</v>
      </c>
      <c r="C579" s="25">
        <v>1279</v>
      </c>
      <c r="D579" s="43" t="s">
        <v>36</v>
      </c>
      <c r="E579" s="1" t="s">
        <v>1240</v>
      </c>
      <c r="F579" s="25" t="s">
        <v>26</v>
      </c>
      <c r="G579" s="43" t="s">
        <v>47</v>
      </c>
      <c r="H579" s="47" t="s">
        <v>36</v>
      </c>
      <c r="I579" s="99" t="s">
        <v>37</v>
      </c>
      <c r="J579" s="2" t="s">
        <v>38</v>
      </c>
      <c r="K579" s="47" t="s">
        <v>39</v>
      </c>
      <c r="L579" s="57"/>
      <c r="M579" s="5"/>
      <c r="N579" s="5"/>
      <c r="O579" s="5"/>
      <c r="P579" s="56">
        <v>5.5</v>
      </c>
      <c r="Q579" s="56"/>
      <c r="R579" s="64" t="s">
        <v>1174</v>
      </c>
      <c r="S579" s="68" t="s">
        <v>41</v>
      </c>
      <c r="T579" s="4" t="s">
        <v>42</v>
      </c>
      <c r="U579" s="1" t="s">
        <v>159</v>
      </c>
      <c r="V579" s="1"/>
      <c r="W579" s="25"/>
    </row>
    <row r="580" spans="1:23" ht="128.25" x14ac:dyDescent="0.25">
      <c r="A580" s="95" t="s">
        <v>56</v>
      </c>
      <c r="B580" s="24" t="s">
        <v>217</v>
      </c>
      <c r="C580" s="25">
        <v>1279</v>
      </c>
      <c r="D580" s="43" t="s">
        <v>36</v>
      </c>
      <c r="E580" s="90" t="s">
        <v>1241</v>
      </c>
      <c r="F580" s="25" t="s">
        <v>31</v>
      </c>
      <c r="G580" s="43" t="s">
        <v>47</v>
      </c>
      <c r="H580" s="47" t="s">
        <v>36</v>
      </c>
      <c r="I580" s="99" t="s">
        <v>117</v>
      </c>
      <c r="J580" s="2" t="s">
        <v>10</v>
      </c>
      <c r="K580" s="47" t="s">
        <v>120</v>
      </c>
      <c r="L580" s="55">
        <v>5.5</v>
      </c>
      <c r="M580" s="5"/>
      <c r="N580" s="5"/>
      <c r="O580" s="5"/>
      <c r="P580" s="56">
        <v>5.5</v>
      </c>
      <c r="Q580" s="56"/>
      <c r="R580" s="64" t="s">
        <v>1174</v>
      </c>
      <c r="S580" s="68" t="s">
        <v>41</v>
      </c>
      <c r="T580" s="4" t="s">
        <v>42</v>
      </c>
      <c r="U580" s="1" t="s">
        <v>159</v>
      </c>
      <c r="V580" s="1"/>
      <c r="W580" s="25"/>
    </row>
    <row r="581" spans="1:23" ht="128.25" x14ac:dyDescent="0.25">
      <c r="A581" s="95" t="s">
        <v>56</v>
      </c>
      <c r="B581" s="24" t="s">
        <v>217</v>
      </c>
      <c r="C581" s="25">
        <v>1279</v>
      </c>
      <c r="D581" s="43" t="s">
        <v>36</v>
      </c>
      <c r="E581" s="1" t="s">
        <v>1243</v>
      </c>
      <c r="F581" s="25" t="s">
        <v>26</v>
      </c>
      <c r="G581" s="43" t="s">
        <v>416</v>
      </c>
      <c r="H581" s="47" t="s">
        <v>36</v>
      </c>
      <c r="I581" s="99" t="s">
        <v>37</v>
      </c>
      <c r="J581" s="2" t="s">
        <v>38</v>
      </c>
      <c r="K581" s="47" t="s">
        <v>39</v>
      </c>
      <c r="L581" s="57"/>
      <c r="M581" s="5"/>
      <c r="N581" s="5"/>
      <c r="O581" s="5"/>
      <c r="P581" s="56">
        <v>0.3</v>
      </c>
      <c r="Q581" s="56"/>
      <c r="R581" s="64" t="s">
        <v>1174</v>
      </c>
      <c r="S581" s="68" t="s">
        <v>41</v>
      </c>
      <c r="T581" s="4" t="s">
        <v>42</v>
      </c>
      <c r="U581" s="1" t="s">
        <v>43</v>
      </c>
      <c r="V581" s="1"/>
      <c r="W581" s="25"/>
    </row>
    <row r="582" spans="1:23" ht="128.25" x14ac:dyDescent="0.25">
      <c r="A582" s="95" t="s">
        <v>56</v>
      </c>
      <c r="B582" s="24" t="s">
        <v>217</v>
      </c>
      <c r="C582" s="25">
        <v>1279</v>
      </c>
      <c r="D582" s="43" t="s">
        <v>36</v>
      </c>
      <c r="E582" s="90" t="s">
        <v>1244</v>
      </c>
      <c r="F582" s="25" t="s">
        <v>31</v>
      </c>
      <c r="G582" s="43" t="s">
        <v>416</v>
      </c>
      <c r="H582" s="47" t="s">
        <v>36</v>
      </c>
      <c r="I582" s="99" t="s">
        <v>24</v>
      </c>
      <c r="J582" s="2" t="s">
        <v>11</v>
      </c>
      <c r="K582" s="47" t="s">
        <v>120</v>
      </c>
      <c r="L582" s="57"/>
      <c r="M582" s="3">
        <v>0.3</v>
      </c>
      <c r="N582" s="3">
        <v>0.3</v>
      </c>
      <c r="O582" s="3">
        <v>0</v>
      </c>
      <c r="P582" s="56">
        <v>0.3</v>
      </c>
      <c r="Q582" s="56"/>
      <c r="R582" s="64" t="s">
        <v>1174</v>
      </c>
      <c r="S582" s="68" t="s">
        <v>41</v>
      </c>
      <c r="T582" s="4" t="s">
        <v>42</v>
      </c>
      <c r="U582" s="1" t="s">
        <v>43</v>
      </c>
      <c r="V582" s="1"/>
      <c r="W582" s="25"/>
    </row>
    <row r="583" spans="1:23" ht="42.75" customHeight="1" x14ac:dyDescent="0.25">
      <c r="A583" s="95" t="s">
        <v>56</v>
      </c>
      <c r="B583" s="24" t="s">
        <v>217</v>
      </c>
      <c r="C583" s="25">
        <v>1279</v>
      </c>
      <c r="D583" s="43" t="s">
        <v>36</v>
      </c>
      <c r="E583" s="1" t="s">
        <v>1182</v>
      </c>
      <c r="F583" s="25" t="s">
        <v>26</v>
      </c>
      <c r="G583" s="43" t="s">
        <v>133</v>
      </c>
      <c r="H583" s="47" t="s">
        <v>36</v>
      </c>
      <c r="I583" s="43" t="s">
        <v>134</v>
      </c>
      <c r="J583" s="2" t="s">
        <v>10</v>
      </c>
      <c r="K583" s="47" t="s">
        <v>151</v>
      </c>
      <c r="L583" s="55">
        <v>10</v>
      </c>
      <c r="M583" s="5"/>
      <c r="N583" s="5"/>
      <c r="O583" s="5"/>
      <c r="P583" s="56">
        <v>10</v>
      </c>
      <c r="Q583" s="56">
        <v>10</v>
      </c>
      <c r="R583" s="64" t="s">
        <v>1174</v>
      </c>
      <c r="S583" s="68" t="s">
        <v>41</v>
      </c>
      <c r="T583" s="4" t="s">
        <v>42</v>
      </c>
      <c r="U583" s="1" t="s">
        <v>43</v>
      </c>
      <c r="V583" s="1"/>
      <c r="W583" s="25"/>
    </row>
    <row r="584" spans="1:23" ht="43.5" customHeight="1" thickBot="1" x14ac:dyDescent="0.3">
      <c r="A584" s="96" t="s">
        <v>56</v>
      </c>
      <c r="B584" s="26" t="s">
        <v>217</v>
      </c>
      <c r="C584" s="32">
        <v>1279</v>
      </c>
      <c r="D584" s="44" t="s">
        <v>36</v>
      </c>
      <c r="E584" s="27" t="s">
        <v>1183</v>
      </c>
      <c r="F584" s="32" t="s">
        <v>26</v>
      </c>
      <c r="G584" s="44" t="s">
        <v>498</v>
      </c>
      <c r="H584" s="48" t="s">
        <v>36</v>
      </c>
      <c r="I584" s="97" t="s">
        <v>24</v>
      </c>
      <c r="J584" s="28" t="s">
        <v>11</v>
      </c>
      <c r="K584" s="48" t="s">
        <v>120</v>
      </c>
      <c r="L584" s="58"/>
      <c r="M584" s="30">
        <v>1.3</v>
      </c>
      <c r="N584" s="30">
        <v>1.3</v>
      </c>
      <c r="O584" s="30">
        <v>0</v>
      </c>
      <c r="P584" s="59">
        <v>1.3</v>
      </c>
      <c r="Q584" s="59">
        <v>1.3</v>
      </c>
      <c r="R584" s="65" t="s">
        <v>1174</v>
      </c>
      <c r="S584" s="69" t="s">
        <v>41</v>
      </c>
      <c r="T584" s="31" t="s">
        <v>42</v>
      </c>
      <c r="U584" s="27" t="s">
        <v>43</v>
      </c>
      <c r="V584" s="27"/>
      <c r="W584" s="32"/>
    </row>
    <row r="585" spans="1:23" ht="171" customHeight="1" x14ac:dyDescent="0.25">
      <c r="A585" s="91" t="s">
        <v>56</v>
      </c>
      <c r="B585" s="18" t="s">
        <v>1184</v>
      </c>
      <c r="C585" s="23">
        <v>1317</v>
      </c>
      <c r="D585" s="42" t="s">
        <v>131</v>
      </c>
      <c r="E585" s="19" t="s">
        <v>1185</v>
      </c>
      <c r="F585" s="23" t="s">
        <v>22</v>
      </c>
      <c r="G585" s="42" t="s">
        <v>372</v>
      </c>
      <c r="H585" s="46" t="s">
        <v>36</v>
      </c>
      <c r="I585" s="42" t="s">
        <v>192</v>
      </c>
      <c r="J585" s="20" t="s">
        <v>11</v>
      </c>
      <c r="K585" s="46" t="s">
        <v>151</v>
      </c>
      <c r="L585" s="53"/>
      <c r="M585" s="98">
        <v>0.9</v>
      </c>
      <c r="N585" s="199">
        <v>0.9</v>
      </c>
      <c r="O585" s="199">
        <v>0.9</v>
      </c>
      <c r="P585" s="54">
        <v>0.9</v>
      </c>
      <c r="Q585" s="54">
        <v>0.9</v>
      </c>
      <c r="R585" s="63" t="s">
        <v>1186</v>
      </c>
      <c r="S585" s="67" t="s">
        <v>41</v>
      </c>
      <c r="T585" s="22" t="s">
        <v>42</v>
      </c>
      <c r="U585" s="19" t="s">
        <v>43</v>
      </c>
      <c r="V585" s="19" t="s">
        <v>134</v>
      </c>
      <c r="W585" s="23"/>
    </row>
    <row r="586" spans="1:23" ht="72" customHeight="1" thickBot="1" x14ac:dyDescent="0.3">
      <c r="A586" s="93" t="s">
        <v>56</v>
      </c>
      <c r="B586" s="26" t="s">
        <v>1184</v>
      </c>
      <c r="C586" s="32">
        <v>1799</v>
      </c>
      <c r="D586" s="44" t="s">
        <v>49</v>
      </c>
      <c r="E586" s="27" t="s">
        <v>1187</v>
      </c>
      <c r="F586" s="32" t="s">
        <v>22</v>
      </c>
      <c r="G586" s="44" t="s">
        <v>47</v>
      </c>
      <c r="H586" s="48" t="s">
        <v>36</v>
      </c>
      <c r="I586" s="97" t="s">
        <v>117</v>
      </c>
      <c r="J586" s="28" t="s">
        <v>10</v>
      </c>
      <c r="K586" s="48" t="s">
        <v>120</v>
      </c>
      <c r="L586" s="169">
        <v>3.0000000000000001E-3</v>
      </c>
      <c r="M586" s="29"/>
      <c r="N586" s="29"/>
      <c r="O586" s="29"/>
      <c r="P586" s="59">
        <v>3.0000000000000001E-3</v>
      </c>
      <c r="Q586" s="59">
        <v>3.0000000000000001E-3</v>
      </c>
      <c r="R586" s="65" t="s">
        <v>1186</v>
      </c>
      <c r="S586" s="69" t="s">
        <v>41</v>
      </c>
      <c r="T586" s="31" t="s">
        <v>42</v>
      </c>
      <c r="U586" s="27" t="s">
        <v>43</v>
      </c>
      <c r="V586" s="27" t="s">
        <v>48</v>
      </c>
      <c r="W586" s="32"/>
    </row>
    <row r="587" spans="1:23" ht="85.5" customHeight="1" x14ac:dyDescent="0.25">
      <c r="A587" s="94" t="s">
        <v>56</v>
      </c>
      <c r="B587" s="18" t="s">
        <v>209</v>
      </c>
      <c r="C587" s="23">
        <v>1368</v>
      </c>
      <c r="D587" s="42" t="s">
        <v>376</v>
      </c>
      <c r="E587" s="19" t="s">
        <v>1188</v>
      </c>
      <c r="F587" s="23" t="s">
        <v>26</v>
      </c>
      <c r="G587" s="42" t="s">
        <v>27</v>
      </c>
      <c r="H587" s="46" t="s">
        <v>39</v>
      </c>
      <c r="I587" s="150" t="s">
        <v>28</v>
      </c>
      <c r="J587" s="20" t="s">
        <v>38</v>
      </c>
      <c r="K587" s="46" t="s">
        <v>39</v>
      </c>
      <c r="L587" s="53"/>
      <c r="M587" s="21"/>
      <c r="N587" s="21"/>
      <c r="O587" s="21"/>
      <c r="P587" s="54"/>
      <c r="Q587" s="54"/>
      <c r="R587" s="63"/>
      <c r="S587" s="67"/>
      <c r="T587" s="22" t="s">
        <v>249</v>
      </c>
      <c r="U587" s="19"/>
      <c r="V587" s="19"/>
      <c r="W587" s="23"/>
    </row>
    <row r="588" spans="1:23" ht="85.5" customHeight="1" x14ac:dyDescent="0.25">
      <c r="A588" s="95" t="s">
        <v>56</v>
      </c>
      <c r="B588" s="24" t="s">
        <v>209</v>
      </c>
      <c r="C588" s="25">
        <v>1355</v>
      </c>
      <c r="D588" s="43" t="s">
        <v>376</v>
      </c>
      <c r="E588" s="1" t="s">
        <v>1189</v>
      </c>
      <c r="F588" s="25" t="s">
        <v>26</v>
      </c>
      <c r="G588" s="43" t="s">
        <v>27</v>
      </c>
      <c r="H588" s="47" t="s">
        <v>39</v>
      </c>
      <c r="I588" s="149" t="s">
        <v>28</v>
      </c>
      <c r="J588" s="2" t="s">
        <v>38</v>
      </c>
      <c r="K588" s="47" t="s">
        <v>39</v>
      </c>
      <c r="L588" s="57"/>
      <c r="M588" s="5"/>
      <c r="N588" s="5"/>
      <c r="O588" s="5"/>
      <c r="P588" s="56"/>
      <c r="Q588" s="56"/>
      <c r="R588" s="64"/>
      <c r="S588" s="68"/>
      <c r="T588" s="4" t="s">
        <v>249</v>
      </c>
      <c r="U588" s="1"/>
      <c r="V588" s="1"/>
      <c r="W588" s="25"/>
    </row>
    <row r="589" spans="1:23" ht="57" customHeight="1" x14ac:dyDescent="0.25">
      <c r="A589" s="95" t="s">
        <v>56</v>
      </c>
      <c r="B589" s="24" t="s">
        <v>209</v>
      </c>
      <c r="C589" s="25">
        <v>1355</v>
      </c>
      <c r="D589" s="43" t="s">
        <v>376</v>
      </c>
      <c r="E589" s="1" t="s">
        <v>1190</v>
      </c>
      <c r="F589" s="25" t="s">
        <v>26</v>
      </c>
      <c r="G589" s="43" t="s">
        <v>356</v>
      </c>
      <c r="H589" s="47" t="s">
        <v>39</v>
      </c>
      <c r="I589" s="149" t="s">
        <v>245</v>
      </c>
      <c r="J589" s="2" t="s">
        <v>38</v>
      </c>
      <c r="K589" s="47" t="s">
        <v>39</v>
      </c>
      <c r="L589" s="57"/>
      <c r="M589" s="5"/>
      <c r="N589" s="5"/>
      <c r="O589" s="5"/>
      <c r="P589" s="56"/>
      <c r="Q589" s="56"/>
      <c r="R589" s="64"/>
      <c r="S589" s="68"/>
      <c r="T589" s="4" t="s">
        <v>249</v>
      </c>
      <c r="U589" s="1"/>
      <c r="V589" s="1"/>
      <c r="W589" s="25"/>
    </row>
    <row r="590" spans="1:23" ht="57" customHeight="1" x14ac:dyDescent="0.25">
      <c r="A590" s="95" t="s">
        <v>56</v>
      </c>
      <c r="B590" s="24" t="s">
        <v>209</v>
      </c>
      <c r="C590" s="25">
        <v>1355</v>
      </c>
      <c r="D590" s="43" t="s">
        <v>376</v>
      </c>
      <c r="E590" s="1" t="s">
        <v>1190</v>
      </c>
      <c r="F590" s="25" t="s">
        <v>26</v>
      </c>
      <c r="G590" s="43" t="s">
        <v>760</v>
      </c>
      <c r="H590" s="47" t="s">
        <v>39</v>
      </c>
      <c r="I590" s="149" t="s">
        <v>245</v>
      </c>
      <c r="J590" s="2" t="s">
        <v>38</v>
      </c>
      <c r="K590" s="47" t="s">
        <v>39</v>
      </c>
      <c r="L590" s="57"/>
      <c r="M590" s="5"/>
      <c r="N590" s="5"/>
      <c r="O590" s="5"/>
      <c r="P590" s="56"/>
      <c r="Q590" s="56"/>
      <c r="R590" s="64"/>
      <c r="S590" s="68"/>
      <c r="T590" s="4" t="s">
        <v>249</v>
      </c>
      <c r="U590" s="1"/>
      <c r="V590" s="1"/>
      <c r="W590" s="25"/>
    </row>
    <row r="591" spans="1:23" ht="57" customHeight="1" x14ac:dyDescent="0.25">
      <c r="A591" s="95" t="s">
        <v>56</v>
      </c>
      <c r="B591" s="24" t="s">
        <v>209</v>
      </c>
      <c r="C591" s="25">
        <v>1355</v>
      </c>
      <c r="D591" s="43" t="s">
        <v>376</v>
      </c>
      <c r="E591" s="1" t="s">
        <v>1191</v>
      </c>
      <c r="F591" s="25" t="s">
        <v>26</v>
      </c>
      <c r="G591" s="43" t="s">
        <v>166</v>
      </c>
      <c r="H591" s="47" t="s">
        <v>39</v>
      </c>
      <c r="I591" s="149" t="s">
        <v>247</v>
      </c>
      <c r="J591" s="2" t="s">
        <v>38</v>
      </c>
      <c r="K591" s="47" t="s">
        <v>39</v>
      </c>
      <c r="L591" s="57"/>
      <c r="M591" s="5"/>
      <c r="N591" s="5"/>
      <c r="O591" s="5"/>
      <c r="P591" s="56"/>
      <c r="Q591" s="56"/>
      <c r="R591" s="64"/>
      <c r="S591" s="68"/>
      <c r="T591" s="4" t="s">
        <v>249</v>
      </c>
      <c r="U591" s="1"/>
      <c r="V591" s="1"/>
      <c r="W591" s="25"/>
    </row>
    <row r="592" spans="1:23" ht="57" customHeight="1" x14ac:dyDescent="0.25">
      <c r="A592" s="95" t="s">
        <v>56</v>
      </c>
      <c r="B592" s="24" t="s">
        <v>209</v>
      </c>
      <c r="C592" s="25">
        <v>1355</v>
      </c>
      <c r="D592" s="43" t="s">
        <v>376</v>
      </c>
      <c r="E592" s="1" t="s">
        <v>1192</v>
      </c>
      <c r="F592" s="25" t="s">
        <v>22</v>
      </c>
      <c r="G592" s="43" t="s">
        <v>242</v>
      </c>
      <c r="H592" s="47" t="s">
        <v>39</v>
      </c>
      <c r="I592" s="149" t="s">
        <v>24</v>
      </c>
      <c r="J592" s="2" t="s">
        <v>11</v>
      </c>
      <c r="K592" s="47" t="s">
        <v>120</v>
      </c>
      <c r="L592" s="57"/>
      <c r="M592" s="3">
        <v>0.02</v>
      </c>
      <c r="N592" s="3">
        <v>0.02</v>
      </c>
      <c r="O592" s="3">
        <v>0.02</v>
      </c>
      <c r="P592" s="56"/>
      <c r="Q592" s="56"/>
      <c r="R592" s="64"/>
      <c r="S592" s="68"/>
      <c r="T592" s="4" t="s">
        <v>249</v>
      </c>
      <c r="U592" s="1"/>
      <c r="V592" s="1"/>
      <c r="W592" s="25"/>
    </row>
    <row r="593" spans="1:23" ht="57" customHeight="1" x14ac:dyDescent="0.25">
      <c r="A593" s="95" t="s">
        <v>56</v>
      </c>
      <c r="B593" s="24" t="s">
        <v>209</v>
      </c>
      <c r="C593" s="25">
        <v>1355</v>
      </c>
      <c r="D593" s="43" t="s">
        <v>376</v>
      </c>
      <c r="E593" s="1" t="s">
        <v>1193</v>
      </c>
      <c r="F593" s="25" t="s">
        <v>26</v>
      </c>
      <c r="G593" s="43" t="s">
        <v>140</v>
      </c>
      <c r="H593" s="47" t="s">
        <v>39</v>
      </c>
      <c r="I593" s="149" t="s">
        <v>37</v>
      </c>
      <c r="J593" s="2" t="s">
        <v>38</v>
      </c>
      <c r="K593" s="47" t="s">
        <v>39</v>
      </c>
      <c r="L593" s="57"/>
      <c r="M593" s="5"/>
      <c r="N593" s="5"/>
      <c r="O593" s="5"/>
      <c r="P593" s="56"/>
      <c r="Q593" s="56"/>
      <c r="R593" s="64"/>
      <c r="S593" s="68"/>
      <c r="T593" s="4" t="s">
        <v>249</v>
      </c>
      <c r="U593" s="1"/>
      <c r="V593" s="1"/>
      <c r="W593" s="25"/>
    </row>
    <row r="594" spans="1:23" ht="57" customHeight="1" x14ac:dyDescent="0.25">
      <c r="A594" s="95" t="s">
        <v>56</v>
      </c>
      <c r="B594" s="24" t="s">
        <v>209</v>
      </c>
      <c r="C594" s="25">
        <v>1355</v>
      </c>
      <c r="D594" s="43" t="s">
        <v>376</v>
      </c>
      <c r="E594" s="1" t="s">
        <v>1192</v>
      </c>
      <c r="F594" s="25" t="s">
        <v>22</v>
      </c>
      <c r="G594" s="43" t="s">
        <v>155</v>
      </c>
      <c r="H594" s="47" t="s">
        <v>39</v>
      </c>
      <c r="I594" s="149" t="s">
        <v>24</v>
      </c>
      <c r="J594" s="2" t="s">
        <v>11</v>
      </c>
      <c r="K594" s="47" t="s">
        <v>120</v>
      </c>
      <c r="L594" s="57"/>
      <c r="M594" s="3">
        <v>4.2999999999999997E-2</v>
      </c>
      <c r="N594" s="3">
        <v>4.2999999999999997E-2</v>
      </c>
      <c r="O594" s="3">
        <v>4.2999999999999997E-2</v>
      </c>
      <c r="P594" s="56"/>
      <c r="Q594" s="56"/>
      <c r="R594" s="64"/>
      <c r="S594" s="68"/>
      <c r="T594" s="4" t="s">
        <v>249</v>
      </c>
      <c r="U594" s="1"/>
      <c r="V594" s="1"/>
      <c r="W594" s="25"/>
    </row>
    <row r="595" spans="1:23" ht="42.75" customHeight="1" x14ac:dyDescent="0.25">
      <c r="A595" s="95" t="s">
        <v>56</v>
      </c>
      <c r="B595" s="24" t="s">
        <v>209</v>
      </c>
      <c r="C595" s="25">
        <v>1355</v>
      </c>
      <c r="D595" s="43" t="s">
        <v>376</v>
      </c>
      <c r="E595" s="1" t="s">
        <v>1192</v>
      </c>
      <c r="F595" s="25" t="s">
        <v>22</v>
      </c>
      <c r="G595" s="43" t="s">
        <v>23</v>
      </c>
      <c r="H595" s="47" t="s">
        <v>36</v>
      </c>
      <c r="I595" s="149" t="s">
        <v>24</v>
      </c>
      <c r="J595" s="2" t="s">
        <v>11</v>
      </c>
      <c r="K595" s="47" t="s">
        <v>120</v>
      </c>
      <c r="L595" s="57"/>
      <c r="M595" s="3">
        <v>1.014</v>
      </c>
      <c r="N595" s="3">
        <v>1.014</v>
      </c>
      <c r="O595" s="3">
        <v>1.014</v>
      </c>
      <c r="P595" s="56"/>
      <c r="Q595" s="56"/>
      <c r="R595" s="64"/>
      <c r="S595" s="68"/>
      <c r="T595" s="4" t="s">
        <v>249</v>
      </c>
      <c r="U595" s="1"/>
      <c r="V595" s="1"/>
      <c r="W595" s="25"/>
    </row>
    <row r="596" spans="1:23" ht="57" customHeight="1" x14ac:dyDescent="0.25">
      <c r="A596" s="95" t="s">
        <v>56</v>
      </c>
      <c r="B596" s="24" t="s">
        <v>209</v>
      </c>
      <c r="C596" s="25">
        <v>1368</v>
      </c>
      <c r="D596" s="43" t="s">
        <v>376</v>
      </c>
      <c r="E596" s="1" t="s">
        <v>1190</v>
      </c>
      <c r="F596" s="25" t="s">
        <v>26</v>
      </c>
      <c r="G596" s="43" t="s">
        <v>27</v>
      </c>
      <c r="H596" s="47" t="s">
        <v>39</v>
      </c>
      <c r="I596" s="149" t="s">
        <v>245</v>
      </c>
      <c r="J596" s="2" t="s">
        <v>38</v>
      </c>
      <c r="K596" s="47" t="s">
        <v>39</v>
      </c>
      <c r="L596" s="57"/>
      <c r="M596" s="5"/>
      <c r="N596" s="5"/>
      <c r="O596" s="5"/>
      <c r="P596" s="56"/>
      <c r="Q596" s="56"/>
      <c r="R596" s="64"/>
      <c r="S596" s="68"/>
      <c r="T596" s="4" t="s">
        <v>249</v>
      </c>
      <c r="U596" s="1"/>
      <c r="V596" s="1"/>
      <c r="W596" s="25"/>
    </row>
    <row r="597" spans="1:23" ht="57.75" customHeight="1" thickBot="1" x14ac:dyDescent="0.3">
      <c r="A597" s="96" t="s">
        <v>56</v>
      </c>
      <c r="B597" s="26" t="s">
        <v>209</v>
      </c>
      <c r="C597" s="32">
        <v>1368</v>
      </c>
      <c r="D597" s="44" t="s">
        <v>376</v>
      </c>
      <c r="E597" s="27" t="s">
        <v>1191</v>
      </c>
      <c r="F597" s="32" t="s">
        <v>26</v>
      </c>
      <c r="G597" s="44" t="s">
        <v>27</v>
      </c>
      <c r="H597" s="48" t="s">
        <v>39</v>
      </c>
      <c r="I597" s="151" t="s">
        <v>247</v>
      </c>
      <c r="J597" s="28" t="s">
        <v>38</v>
      </c>
      <c r="K597" s="48" t="s">
        <v>39</v>
      </c>
      <c r="L597" s="58"/>
      <c r="M597" s="29"/>
      <c r="N597" s="29"/>
      <c r="O597" s="29"/>
      <c r="P597" s="59"/>
      <c r="Q597" s="59"/>
      <c r="R597" s="65"/>
      <c r="S597" s="69"/>
      <c r="T597" s="31" t="s">
        <v>249</v>
      </c>
      <c r="U597" s="27"/>
      <c r="V597" s="27"/>
      <c r="W597" s="32"/>
    </row>
    <row r="598" spans="1:23" ht="57" x14ac:dyDescent="0.25">
      <c r="A598" s="95" t="s">
        <v>56</v>
      </c>
      <c r="B598" s="24" t="s">
        <v>1230</v>
      </c>
      <c r="C598" s="25">
        <v>1304</v>
      </c>
      <c r="D598" s="43" t="s">
        <v>1231</v>
      </c>
      <c r="E598" s="1" t="s">
        <v>1232</v>
      </c>
      <c r="F598" s="25" t="s">
        <v>26</v>
      </c>
      <c r="G598" s="43" t="s">
        <v>47</v>
      </c>
      <c r="H598" s="47" t="s">
        <v>36</v>
      </c>
      <c r="I598" s="149" t="s">
        <v>37</v>
      </c>
      <c r="J598" s="2" t="s">
        <v>38</v>
      </c>
      <c r="K598" s="47" t="s">
        <v>39</v>
      </c>
      <c r="L598" s="57"/>
      <c r="M598" s="5"/>
      <c r="N598" s="5"/>
      <c r="O598" s="5"/>
      <c r="P598" s="56" t="s">
        <v>26</v>
      </c>
      <c r="Q598" s="56">
        <v>3</v>
      </c>
      <c r="R598" s="64"/>
      <c r="S598" s="68" t="s">
        <v>41</v>
      </c>
      <c r="T598" s="4" t="s">
        <v>42</v>
      </c>
      <c r="U598" s="1" t="s">
        <v>159</v>
      </c>
      <c r="V598" s="1"/>
      <c r="W598" s="25"/>
    </row>
    <row r="599" spans="1:23" ht="57.75" thickBot="1" x14ac:dyDescent="0.3">
      <c r="A599" s="96" t="s">
        <v>56</v>
      </c>
      <c r="B599" s="26" t="s">
        <v>1230</v>
      </c>
      <c r="C599" s="32">
        <v>1304</v>
      </c>
      <c r="D599" s="44" t="s">
        <v>1231</v>
      </c>
      <c r="E599" s="27" t="s">
        <v>1233</v>
      </c>
      <c r="F599" s="32" t="s">
        <v>22</v>
      </c>
      <c r="G599" s="44" t="s">
        <v>47</v>
      </c>
      <c r="H599" s="48" t="s">
        <v>36</v>
      </c>
      <c r="I599" s="193" t="s">
        <v>117</v>
      </c>
      <c r="J599" s="28" t="s">
        <v>10</v>
      </c>
      <c r="K599" s="48" t="s">
        <v>120</v>
      </c>
      <c r="L599" s="169"/>
      <c r="M599" s="29"/>
      <c r="N599" s="29"/>
      <c r="O599" s="29"/>
      <c r="P599" s="59" t="s">
        <v>22</v>
      </c>
      <c r="Q599" s="59">
        <v>3</v>
      </c>
      <c r="R599" s="65"/>
      <c r="S599" s="69" t="s">
        <v>41</v>
      </c>
      <c r="T599" s="31" t="s">
        <v>42</v>
      </c>
      <c r="U599" s="27" t="s">
        <v>159</v>
      </c>
      <c r="V599" s="27"/>
      <c r="W599" s="32"/>
    </row>
    <row r="607" spans="1:23" x14ac:dyDescent="0.25">
      <c r="K607" s="191"/>
      <c r="L607" s="192"/>
      <c r="M607" s="192"/>
    </row>
    <row r="608" spans="1:23" x14ac:dyDescent="0.25">
      <c r="K608" s="191"/>
      <c r="L608" s="192"/>
      <c r="M608" s="192"/>
    </row>
    <row r="609" spans="11:13" x14ac:dyDescent="0.25">
      <c r="K609" s="191"/>
      <c r="L609" s="192"/>
      <c r="M609" s="192"/>
    </row>
  </sheetData>
  <protectedRanges>
    <protectedRange sqref="C6:G6" name="Range1_1"/>
    <protectedRange sqref="I6" name="Range2_1"/>
    <protectedRange sqref="L6:S6" name="Range3_1"/>
    <protectedRange sqref="U6:W6" name="Range4_1"/>
    <protectedRange sqref="C7:G17" name="Range1_2"/>
    <protectedRange sqref="I7:I17" name="Range2_2"/>
    <protectedRange sqref="L7:S17 P22:Q22" name="Range3_2"/>
    <protectedRange sqref="U7:W17" name="Range4_2"/>
  </protectedRanges>
  <autoFilter ref="A1:W599" xr:uid="{00000000-0009-0000-0000-000000000000}"/>
  <dataValidations count="4">
    <dataValidation type="custom" errorStyle="warning" allowBlank="1" showInputMessage="1" showErrorMessage="1" errorTitle="not in-line with SD/Non-SD sum" sqref="P22:Q22 P6:Q17" xr:uid="{00000000-0002-0000-0000-000000000000}">
      <formula1>IF((L6+M6)=P6,P6,"N/A")</formula1>
    </dataValidation>
    <dataValidation type="custom" allowBlank="1" showInputMessage="1" showErrorMessage="1" errorTitle="only SD input" error="New JTIO account will be used for Non-SD posting, therefore SD posting can not be done for this account" sqref="L6:L17" xr:uid="{00000000-0002-0000-0000-000001000000}">
      <formula1>IF(AND(J6&lt;&gt;"SD",L6&lt;&gt;""),"N/A",L6)</formula1>
    </dataValidation>
    <dataValidation type="custom" allowBlank="1" showErrorMessage="1" errorTitle="only for Non-SD" error="New JTIO account will be used for the automated posting via SD, therefore nonSD posting can not be done for this account" promptTitle="Please input ammount only for SD" sqref="M6:M17" xr:uid="{00000000-0002-0000-0000-000002000000}">
      <formula1>IF(AND(J6="SD",M6&lt;&gt;""),"N/A",M6)</formula1>
    </dataValidation>
    <dataValidation allowBlank="1" showInputMessage="1" showErrorMessage="1" promptTitle="Closed for entry" prompt="description of the selected tax category" sqref="T6:T17" xr:uid="{00000000-0002-0000-0000-000003000000}"/>
  </dataValidations>
  <pageMargins left="0.7" right="0.7" top="0.75" bottom="0.75" header="0.3" footer="0.3"/>
  <pageSetup paperSize="9" orientation="portrait" horizontalDpi="200" verticalDpi="200" r:id="rId1"/>
  <customProperties>
    <customPr name="_pios_id" r:id="rId2"/>
  </customProperties>
  <ignoredErrors>
    <ignoredError sqref="C405:C448" numberStoredAsText="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4000000}">
          <x14:formula1>
            <xm:f>'\\GBRMAN01-SRV-05\MANGOODIM$\Documents\Projects\CoA - Revenue and Allowances\Market Mapping\FitGap\[Allowances_Canada.xlsb]Lookup'!#REF!</xm:f>
          </x14:formula1>
          <xm:sqref>C6:C17 F6:G17 I6:I17</xm:sqref>
        </x14:dataValidation>
        <x14:dataValidation type="list" allowBlank="1" showInputMessage="1" showErrorMessage="1" promptTitle="For Stat/Tax set-up by entities" prompt="Put yes if set up should allow posting without tax" xr:uid="{00000000-0002-0000-0000-000005000000}">
          <x14:formula1>
            <xm:f>'\\GBRMAN01-SRV-05\MANGOODIM$\Documents\Projects\CoA - Revenue and Allowances\Market Mapping\FitGap\[Allowances_Canada.xlsb]Lookup'!#REF!</xm:f>
          </x14:formula1>
          <xm:sqref>U6:U17</xm:sqref>
        </x14:dataValidation>
        <x14:dataValidation type="list" allowBlank="1" showInputMessage="1" showErrorMessage="1" promptTitle="For Stat/Tax set-up by entities" prompt="Please specify relevant tax category" xr:uid="{00000000-0002-0000-0000-000006000000}">
          <x14:formula1>
            <xm:f>'\\GBRMAN01-SRV-05\MANGOODIM$\Documents\Projects\CoA - Revenue and Allowances\Market Mapping\FitGap\[Allowances_Canada.xlsb]Lookup'!#REF!</xm:f>
          </x14:formula1>
          <xm:sqref>S6:S17</xm:sqref>
        </x14:dataValidation>
        <x14:dataValidation type="list" operator="equal" allowBlank="1" showInputMessage="1" errorTitle="Incorrect length" error="New GL account can have only 6-digits " promptTitle="Alternative GL account" prompt="Please select alternative 6-digit GL account or New for Stat/Tax set-up for your entity" xr:uid="{00000000-0002-0000-0000-000007000000}">
          <x14:formula1>
            <xm:f>'\\GBRMAN01-SRV-05\MANGOODIM$\Documents\Projects\CoA - Revenue and Allowances\Market Mapping\FitGap\[Allowances_Canada.xlsb]Lookup'!#REF!</xm:f>
          </x14:formula1>
          <xm:sqref>V6:V17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2E9E-82D5-4FBB-9181-711D3A178FDF}">
  <sheetPr>
    <pageSetUpPr fitToPage="1"/>
  </sheetPr>
  <dimension ref="B1:J17"/>
  <sheetViews>
    <sheetView topLeftCell="A7" workbookViewId="0">
      <selection activeCell="F13" sqref="F13"/>
    </sheetView>
  </sheetViews>
  <sheetFormatPr defaultColWidth="8.85546875" defaultRowHeight="14.25" x14ac:dyDescent="0.2"/>
  <cols>
    <col min="1" max="1" width="5.42578125" style="201" customWidth="1"/>
    <col min="2" max="2" width="31.5703125" style="201" customWidth="1"/>
    <col min="3" max="3" width="13.5703125" style="201" customWidth="1"/>
    <col min="4" max="5" width="33" style="201" customWidth="1"/>
    <col min="6" max="6" width="56.140625" style="201" customWidth="1"/>
    <col min="7" max="7" width="27" style="201" customWidth="1"/>
    <col min="8" max="8" width="32.140625" style="201" customWidth="1"/>
    <col min="9" max="9" width="64.42578125" style="201" customWidth="1"/>
    <col min="10" max="10" width="19.5703125" style="201" customWidth="1"/>
    <col min="11" max="16384" width="8.85546875" style="201"/>
  </cols>
  <sheetData>
    <row r="1" spans="2:10" ht="35.1" customHeight="1" thickBot="1" x14ac:dyDescent="0.4">
      <c r="B1" s="200"/>
      <c r="C1" s="259" t="s">
        <v>1245</v>
      </c>
      <c r="D1" s="260"/>
      <c r="E1" s="260"/>
      <c r="F1" s="260"/>
      <c r="G1" s="260"/>
      <c r="H1" s="260"/>
      <c r="I1" s="260"/>
      <c r="J1" s="261"/>
    </row>
    <row r="2" spans="2:10" ht="15" thickBot="1" x14ac:dyDescent="0.25">
      <c r="B2" s="202" t="s">
        <v>1246</v>
      </c>
      <c r="C2" s="203" t="s">
        <v>1247</v>
      </c>
      <c r="D2" s="204" t="s">
        <v>1248</v>
      </c>
      <c r="E2" s="203" t="s">
        <v>1249</v>
      </c>
      <c r="F2" s="204" t="s">
        <v>1248</v>
      </c>
      <c r="G2" s="205" t="s">
        <v>1250</v>
      </c>
      <c r="H2" s="204" t="s">
        <v>1251</v>
      </c>
      <c r="I2" s="206" t="s">
        <v>1252</v>
      </c>
      <c r="J2" s="207" t="s">
        <v>1253</v>
      </c>
    </row>
    <row r="3" spans="2:10" ht="21" customHeight="1" x14ac:dyDescent="0.2">
      <c r="B3" s="208" t="s">
        <v>49</v>
      </c>
      <c r="C3" s="257">
        <v>34110</v>
      </c>
      <c r="D3" s="258" t="s">
        <v>889</v>
      </c>
      <c r="E3" s="209">
        <v>341100</v>
      </c>
      <c r="F3" s="208" t="s">
        <v>1254</v>
      </c>
      <c r="G3" s="210"/>
      <c r="H3" s="211"/>
      <c r="I3" s="212"/>
      <c r="J3" s="213" t="s">
        <v>10</v>
      </c>
    </row>
    <row r="4" spans="2:10" ht="21" customHeight="1" x14ac:dyDescent="0.2">
      <c r="B4" s="214" t="s">
        <v>49</v>
      </c>
      <c r="C4" s="262"/>
      <c r="D4" s="263"/>
      <c r="E4" s="215">
        <v>341108</v>
      </c>
      <c r="F4" s="214" t="s">
        <v>1255</v>
      </c>
      <c r="G4" s="216">
        <v>80141592</v>
      </c>
      <c r="H4" s="217" t="s">
        <v>1256</v>
      </c>
      <c r="I4" s="218" t="s">
        <v>1257</v>
      </c>
      <c r="J4" s="219" t="s">
        <v>11</v>
      </c>
    </row>
    <row r="5" spans="2:10" ht="21" customHeight="1" x14ac:dyDescent="0.2">
      <c r="B5" s="220" t="s">
        <v>49</v>
      </c>
      <c r="C5" s="253">
        <v>34120</v>
      </c>
      <c r="D5" s="255" t="s">
        <v>1258</v>
      </c>
      <c r="E5" s="221">
        <v>341200</v>
      </c>
      <c r="F5" s="220" t="s">
        <v>1259</v>
      </c>
      <c r="G5" s="222"/>
      <c r="H5" s="223"/>
      <c r="I5" s="224"/>
      <c r="J5" s="225" t="s">
        <v>10</v>
      </c>
    </row>
    <row r="6" spans="2:10" ht="21" customHeight="1" thickBot="1" x14ac:dyDescent="0.25">
      <c r="B6" s="226" t="s">
        <v>49</v>
      </c>
      <c r="C6" s="254"/>
      <c r="D6" s="256"/>
      <c r="E6" s="227">
        <v>341208</v>
      </c>
      <c r="F6" s="226" t="s">
        <v>1260</v>
      </c>
      <c r="G6" s="228"/>
      <c r="H6" s="229"/>
      <c r="I6" s="230"/>
      <c r="J6" s="231" t="s">
        <v>11</v>
      </c>
    </row>
    <row r="7" spans="2:10" ht="20.100000000000001" customHeight="1" x14ac:dyDescent="0.2">
      <c r="B7" s="208" t="s">
        <v>151</v>
      </c>
      <c r="C7" s="257">
        <v>34130</v>
      </c>
      <c r="D7" s="258" t="s">
        <v>1261</v>
      </c>
      <c r="E7" s="209">
        <v>341300</v>
      </c>
      <c r="F7" s="208" t="s">
        <v>1262</v>
      </c>
      <c r="G7" s="210"/>
      <c r="H7" s="211"/>
      <c r="I7" s="212"/>
      <c r="J7" s="213" t="s">
        <v>10</v>
      </c>
    </row>
    <row r="8" spans="2:10" ht="20.100000000000001" customHeight="1" x14ac:dyDescent="0.2">
      <c r="B8" s="214" t="s">
        <v>151</v>
      </c>
      <c r="C8" s="262"/>
      <c r="D8" s="263"/>
      <c r="E8" s="215">
        <v>341308</v>
      </c>
      <c r="F8" s="214" t="s">
        <v>1263</v>
      </c>
      <c r="G8" s="216"/>
      <c r="H8" s="217"/>
      <c r="I8" s="218"/>
      <c r="J8" s="219" t="s">
        <v>11</v>
      </c>
    </row>
    <row r="9" spans="2:10" ht="20.100000000000001" customHeight="1" x14ac:dyDescent="0.2">
      <c r="B9" s="220" t="s">
        <v>151</v>
      </c>
      <c r="C9" s="253">
        <v>34140</v>
      </c>
      <c r="D9" s="255" t="s">
        <v>119</v>
      </c>
      <c r="E9" s="221">
        <v>341400</v>
      </c>
      <c r="F9" s="220" t="s">
        <v>1264</v>
      </c>
      <c r="G9" s="222"/>
      <c r="H9" s="223"/>
      <c r="I9" s="224"/>
      <c r="J9" s="225" t="s">
        <v>10</v>
      </c>
    </row>
    <row r="10" spans="2:10" ht="20.100000000000001" customHeight="1" thickBot="1" x14ac:dyDescent="0.25">
      <c r="B10" s="226" t="s">
        <v>151</v>
      </c>
      <c r="C10" s="254"/>
      <c r="D10" s="256"/>
      <c r="E10" s="227">
        <v>341408</v>
      </c>
      <c r="F10" s="226" t="s">
        <v>1265</v>
      </c>
      <c r="G10" s="228"/>
      <c r="H10" s="229"/>
      <c r="I10" s="230"/>
      <c r="J10" s="231" t="s">
        <v>11</v>
      </c>
    </row>
    <row r="11" spans="2:10" ht="26.1" customHeight="1" x14ac:dyDescent="0.2">
      <c r="B11" s="208" t="s">
        <v>120</v>
      </c>
      <c r="C11" s="257">
        <v>34150</v>
      </c>
      <c r="D11" s="258" t="s">
        <v>120</v>
      </c>
      <c r="E11" s="209">
        <v>341500</v>
      </c>
      <c r="F11" s="208" t="s">
        <v>1266</v>
      </c>
      <c r="G11" s="210"/>
      <c r="H11" s="211"/>
      <c r="I11" s="212"/>
      <c r="J11" s="213" t="s">
        <v>10</v>
      </c>
    </row>
    <row r="12" spans="2:10" ht="82.35" customHeight="1" thickBot="1" x14ac:dyDescent="0.25">
      <c r="B12" s="226" t="s">
        <v>120</v>
      </c>
      <c r="C12" s="254"/>
      <c r="D12" s="256"/>
      <c r="E12" s="227">
        <v>341508</v>
      </c>
      <c r="F12" s="226" t="s">
        <v>1267</v>
      </c>
      <c r="G12" s="232" t="s">
        <v>1268</v>
      </c>
      <c r="H12" s="233" t="s">
        <v>1269</v>
      </c>
      <c r="I12" s="234" t="s">
        <v>1270</v>
      </c>
      <c r="J12" s="231" t="s">
        <v>11</v>
      </c>
    </row>
    <row r="13" spans="2:10" ht="170.1" customHeight="1" x14ac:dyDescent="0.2">
      <c r="B13" s="214" t="s">
        <v>39</v>
      </c>
      <c r="C13" s="215">
        <v>35110</v>
      </c>
      <c r="D13" s="214" t="s">
        <v>741</v>
      </c>
      <c r="E13" s="215">
        <v>351100</v>
      </c>
      <c r="F13" s="214" t="s">
        <v>741</v>
      </c>
      <c r="G13" s="235" t="s">
        <v>1271</v>
      </c>
      <c r="H13" s="236" t="s">
        <v>1272</v>
      </c>
      <c r="I13" s="237" t="s">
        <v>1273</v>
      </c>
      <c r="J13" s="238" t="s">
        <v>38</v>
      </c>
    </row>
    <row r="14" spans="2:10" ht="87" customHeight="1" x14ac:dyDescent="0.2">
      <c r="B14" s="214" t="s">
        <v>39</v>
      </c>
      <c r="C14" s="215">
        <v>35120</v>
      </c>
      <c r="D14" s="214" t="s">
        <v>1274</v>
      </c>
      <c r="E14" s="215">
        <v>351200</v>
      </c>
      <c r="F14" s="214" t="s">
        <v>1274</v>
      </c>
      <c r="G14" s="235" t="s">
        <v>1275</v>
      </c>
      <c r="H14" s="236" t="s">
        <v>1276</v>
      </c>
      <c r="I14" s="237" t="s">
        <v>1277</v>
      </c>
      <c r="J14" s="238" t="s">
        <v>38</v>
      </c>
    </row>
    <row r="15" spans="2:10" ht="28.5" x14ac:dyDescent="0.2">
      <c r="B15" s="214" t="s">
        <v>39</v>
      </c>
      <c r="C15" s="215">
        <v>35130</v>
      </c>
      <c r="D15" s="214" t="s">
        <v>1278</v>
      </c>
      <c r="E15" s="215">
        <v>351300</v>
      </c>
      <c r="F15" s="214" t="s">
        <v>1278</v>
      </c>
      <c r="G15" s="235" t="s">
        <v>1279</v>
      </c>
      <c r="H15" s="236" t="s">
        <v>1280</v>
      </c>
      <c r="I15" s="237" t="s">
        <v>1281</v>
      </c>
      <c r="J15" s="238" t="s">
        <v>38</v>
      </c>
    </row>
    <row r="16" spans="2:10" ht="28.5" x14ac:dyDescent="0.2">
      <c r="B16" s="214" t="s">
        <v>39</v>
      </c>
      <c r="C16" s="215">
        <v>35140</v>
      </c>
      <c r="D16" s="214" t="s">
        <v>745</v>
      </c>
      <c r="E16" s="215">
        <v>351400</v>
      </c>
      <c r="F16" s="214" t="s">
        <v>745</v>
      </c>
      <c r="G16" s="235" t="s">
        <v>1282</v>
      </c>
      <c r="H16" s="236" t="s">
        <v>1283</v>
      </c>
      <c r="I16" s="237" t="s">
        <v>1284</v>
      </c>
      <c r="J16" s="238" t="s">
        <v>38</v>
      </c>
    </row>
    <row r="17" spans="2:10" ht="30" customHeight="1" thickBot="1" x14ac:dyDescent="0.25">
      <c r="B17" s="226" t="s">
        <v>39</v>
      </c>
      <c r="C17" s="227">
        <v>35150</v>
      </c>
      <c r="D17" s="226" t="s">
        <v>1048</v>
      </c>
      <c r="E17" s="227">
        <v>351500</v>
      </c>
      <c r="F17" s="226" t="s">
        <v>1048</v>
      </c>
      <c r="G17" s="228">
        <v>80141622</v>
      </c>
      <c r="H17" s="229" t="s">
        <v>1285</v>
      </c>
      <c r="I17" s="230" t="s">
        <v>1286</v>
      </c>
      <c r="J17" s="239" t="s">
        <v>38</v>
      </c>
    </row>
  </sheetData>
  <mergeCells count="11">
    <mergeCell ref="C9:C10"/>
    <mergeCell ref="D9:D10"/>
    <mergeCell ref="C11:C12"/>
    <mergeCell ref="D11:D12"/>
    <mergeCell ref="C1:J1"/>
    <mergeCell ref="C3:C4"/>
    <mergeCell ref="D3:D4"/>
    <mergeCell ref="C5:C6"/>
    <mergeCell ref="D5:D6"/>
    <mergeCell ref="C7:C8"/>
    <mergeCell ref="D7:D8"/>
  </mergeCells>
  <pageMargins left="0.28000000000000003" right="0.13" top="0.65" bottom="0.75" header="0.3" footer="0.3"/>
  <pageSetup scale="44" orientation="landscape" horizontalDpi="300" verticalDpi="0" r:id="rId1"/>
  <headerFooter>
    <oddHeader>&amp;C&amp;A</oddHeader>
    <oddFooter>&amp;R&amp;F</oddFooter>
  </headerFooter>
  <customProperties>
    <customPr name="_pios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D4B3-01F6-43A3-945C-97EEBD224F5F}">
  <sheetPr>
    <pageSetUpPr fitToPage="1"/>
  </sheetPr>
  <dimension ref="A1:E197"/>
  <sheetViews>
    <sheetView topLeftCell="A133" zoomScale="80" zoomScaleNormal="80" workbookViewId="0">
      <selection activeCell="D7" sqref="D7"/>
    </sheetView>
  </sheetViews>
  <sheetFormatPr defaultRowHeight="15" x14ac:dyDescent="0.25"/>
  <cols>
    <col min="1" max="1" width="33.140625" customWidth="1"/>
    <col min="2" max="2" width="64.5703125" customWidth="1"/>
    <col min="3" max="3" width="35.5703125" customWidth="1"/>
    <col min="4" max="4" width="139.42578125" customWidth="1"/>
    <col min="5" max="5" width="20" customWidth="1"/>
  </cols>
  <sheetData>
    <row r="1" spans="1:5" ht="30.75" thickBot="1" x14ac:dyDescent="0.3">
      <c r="A1" s="240" t="s">
        <v>9</v>
      </c>
      <c r="B1" s="240" t="s">
        <v>7</v>
      </c>
      <c r="C1" s="241" t="s">
        <v>2</v>
      </c>
      <c r="D1" s="242" t="s">
        <v>3</v>
      </c>
      <c r="E1" s="243" t="s">
        <v>4</v>
      </c>
    </row>
    <row r="2" spans="1:5" ht="42.75" customHeight="1" x14ac:dyDescent="0.25">
      <c r="A2" s="244" t="s">
        <v>49</v>
      </c>
      <c r="B2" s="63" t="s">
        <v>1287</v>
      </c>
      <c r="C2" s="42" t="s">
        <v>1288</v>
      </c>
      <c r="D2" s="19" t="s">
        <v>1289</v>
      </c>
      <c r="E2" s="23" t="s">
        <v>46</v>
      </c>
    </row>
    <row r="3" spans="1:5" ht="42.75" customHeight="1" x14ac:dyDescent="0.25">
      <c r="A3" s="245" t="s">
        <v>49</v>
      </c>
      <c r="B3" s="64" t="s">
        <v>1287</v>
      </c>
      <c r="C3" s="43" t="s">
        <v>1290</v>
      </c>
      <c r="D3" s="1" t="s">
        <v>1291</v>
      </c>
      <c r="E3" s="25" t="s">
        <v>46</v>
      </c>
    </row>
    <row r="4" spans="1:5" ht="42.75" customHeight="1" x14ac:dyDescent="0.25">
      <c r="A4" s="246" t="s">
        <v>49</v>
      </c>
      <c r="B4" s="66" t="s">
        <v>1287</v>
      </c>
      <c r="C4" s="45" t="s">
        <v>1290</v>
      </c>
      <c r="D4" s="16" t="s">
        <v>1292</v>
      </c>
      <c r="E4" s="39" t="s">
        <v>46</v>
      </c>
    </row>
    <row r="5" spans="1:5" ht="42.75" customHeight="1" x14ac:dyDescent="0.25">
      <c r="A5" s="245" t="s">
        <v>49</v>
      </c>
      <c r="B5" s="64" t="s">
        <v>1287</v>
      </c>
      <c r="C5" s="43" t="s">
        <v>1288</v>
      </c>
      <c r="D5" s="1" t="s">
        <v>1293</v>
      </c>
      <c r="E5" s="25" t="s">
        <v>46</v>
      </c>
    </row>
    <row r="6" spans="1:5" ht="42.75" customHeight="1" x14ac:dyDescent="0.25">
      <c r="A6" s="245" t="s">
        <v>49</v>
      </c>
      <c r="B6" s="64" t="s">
        <v>1287</v>
      </c>
      <c r="C6" s="43" t="s">
        <v>1294</v>
      </c>
      <c r="D6" s="1" t="s">
        <v>1295</v>
      </c>
      <c r="E6" s="25" t="s">
        <v>46</v>
      </c>
    </row>
    <row r="7" spans="1:5" ht="42.75" customHeight="1" x14ac:dyDescent="0.25">
      <c r="A7" s="245" t="s">
        <v>49</v>
      </c>
      <c r="B7" s="64" t="s">
        <v>1287</v>
      </c>
      <c r="C7" s="43" t="s">
        <v>1296</v>
      </c>
      <c r="D7" s="1" t="s">
        <v>1297</v>
      </c>
      <c r="E7" s="25" t="s">
        <v>46</v>
      </c>
    </row>
    <row r="8" spans="1:5" ht="42.75" customHeight="1" x14ac:dyDescent="0.25">
      <c r="A8" s="245" t="s">
        <v>49</v>
      </c>
      <c r="B8" s="64" t="s">
        <v>1287</v>
      </c>
      <c r="C8" s="43" t="s">
        <v>1298</v>
      </c>
      <c r="D8" s="1" t="s">
        <v>1299</v>
      </c>
      <c r="E8" s="25" t="s">
        <v>46</v>
      </c>
    </row>
    <row r="9" spans="1:5" ht="42.75" customHeight="1" x14ac:dyDescent="0.25">
      <c r="A9" s="245" t="s">
        <v>49</v>
      </c>
      <c r="B9" s="64" t="s">
        <v>1287</v>
      </c>
      <c r="C9" s="43" t="s">
        <v>1294</v>
      </c>
      <c r="D9" s="1" t="s">
        <v>1300</v>
      </c>
      <c r="E9" s="25" t="s">
        <v>46</v>
      </c>
    </row>
    <row r="10" spans="1:5" ht="42.75" customHeight="1" x14ac:dyDescent="0.25">
      <c r="A10" s="245" t="s">
        <v>49</v>
      </c>
      <c r="B10" s="64" t="s">
        <v>1287</v>
      </c>
      <c r="C10" s="43" t="s">
        <v>1294</v>
      </c>
      <c r="D10" s="1" t="s">
        <v>723</v>
      </c>
      <c r="E10" s="25" t="s">
        <v>46</v>
      </c>
    </row>
    <row r="11" spans="1:5" ht="42.75" customHeight="1" x14ac:dyDescent="0.25">
      <c r="A11" s="245" t="s">
        <v>49</v>
      </c>
      <c r="B11" s="64" t="s">
        <v>1287</v>
      </c>
      <c r="C11" s="43" t="s">
        <v>1294</v>
      </c>
      <c r="D11" s="1" t="s">
        <v>1301</v>
      </c>
      <c r="E11" s="25" t="s">
        <v>46</v>
      </c>
    </row>
    <row r="12" spans="1:5" ht="42.75" customHeight="1" x14ac:dyDescent="0.25">
      <c r="A12" s="245" t="s">
        <v>49</v>
      </c>
      <c r="B12" s="64" t="s">
        <v>1287</v>
      </c>
      <c r="C12" s="45" t="s">
        <v>612</v>
      </c>
      <c r="D12" s="16" t="s">
        <v>1302</v>
      </c>
      <c r="E12" s="25" t="s">
        <v>46</v>
      </c>
    </row>
    <row r="13" spans="1:5" ht="42.75" customHeight="1" x14ac:dyDescent="0.25">
      <c r="A13" s="245" t="s">
        <v>49</v>
      </c>
      <c r="B13" s="64" t="s">
        <v>1287</v>
      </c>
      <c r="C13" s="43" t="s">
        <v>1303</v>
      </c>
      <c r="D13" s="1" t="s">
        <v>1304</v>
      </c>
      <c r="E13" s="25" t="s">
        <v>46</v>
      </c>
    </row>
    <row r="14" spans="1:5" ht="42.75" customHeight="1" x14ac:dyDescent="0.25">
      <c r="A14" s="245" t="s">
        <v>49</v>
      </c>
      <c r="B14" s="64" t="s">
        <v>1287</v>
      </c>
      <c r="C14" s="43" t="s">
        <v>1305</v>
      </c>
      <c r="D14" s="1" t="s">
        <v>1306</v>
      </c>
      <c r="E14" s="25" t="s">
        <v>46</v>
      </c>
    </row>
    <row r="15" spans="1:5" ht="42.75" customHeight="1" x14ac:dyDescent="0.25">
      <c r="A15" s="245" t="s">
        <v>49</v>
      </c>
      <c r="B15" s="64" t="s">
        <v>1287</v>
      </c>
      <c r="C15" s="43" t="s">
        <v>1307</v>
      </c>
      <c r="D15" s="1" t="s">
        <v>1308</v>
      </c>
      <c r="E15" s="25" t="s">
        <v>46</v>
      </c>
    </row>
    <row r="16" spans="1:5" ht="42.75" customHeight="1" x14ac:dyDescent="0.25">
      <c r="A16" s="245" t="s">
        <v>49</v>
      </c>
      <c r="B16" s="64" t="s">
        <v>1309</v>
      </c>
      <c r="C16" s="43" t="s">
        <v>961</v>
      </c>
      <c r="D16" s="1" t="s">
        <v>1310</v>
      </c>
      <c r="E16" s="25" t="s">
        <v>26</v>
      </c>
    </row>
    <row r="17" spans="1:5" ht="42.75" customHeight="1" x14ac:dyDescent="0.25">
      <c r="A17" s="245" t="s">
        <v>49</v>
      </c>
      <c r="B17" s="64" t="s">
        <v>1309</v>
      </c>
      <c r="C17" s="43" t="s">
        <v>961</v>
      </c>
      <c r="D17" s="1" t="s">
        <v>1311</v>
      </c>
      <c r="E17" s="25" t="s">
        <v>31</v>
      </c>
    </row>
    <row r="18" spans="1:5" ht="42.75" customHeight="1" x14ac:dyDescent="0.25">
      <c r="A18" s="246" t="s">
        <v>49</v>
      </c>
      <c r="B18" s="66" t="s">
        <v>1309</v>
      </c>
      <c r="C18" s="45" t="s">
        <v>961</v>
      </c>
      <c r="D18" s="16" t="s">
        <v>1312</v>
      </c>
      <c r="E18" s="39" t="s">
        <v>22</v>
      </c>
    </row>
    <row r="19" spans="1:5" ht="42.75" customHeight="1" x14ac:dyDescent="0.25">
      <c r="A19" s="245" t="s">
        <v>49</v>
      </c>
      <c r="B19" s="64" t="s">
        <v>1309</v>
      </c>
      <c r="C19" s="43" t="s">
        <v>961</v>
      </c>
      <c r="D19" s="1" t="s">
        <v>1313</v>
      </c>
      <c r="E19" s="25" t="s">
        <v>31</v>
      </c>
    </row>
    <row r="20" spans="1:5" ht="42.75" customHeight="1" x14ac:dyDescent="0.25">
      <c r="A20" s="245" t="s">
        <v>49</v>
      </c>
      <c r="B20" s="64" t="s">
        <v>1309</v>
      </c>
      <c r="C20" s="43" t="s">
        <v>1314</v>
      </c>
      <c r="D20" s="1" t="s">
        <v>1315</v>
      </c>
      <c r="E20" s="25" t="s">
        <v>26</v>
      </c>
    </row>
    <row r="21" spans="1:5" ht="42.75" customHeight="1" x14ac:dyDescent="0.25">
      <c r="A21" s="245" t="s">
        <v>49</v>
      </c>
      <c r="B21" s="64" t="s">
        <v>1309</v>
      </c>
      <c r="C21" s="43" t="s">
        <v>1314</v>
      </c>
      <c r="D21" s="1" t="s">
        <v>1316</v>
      </c>
      <c r="E21" s="25" t="s">
        <v>22</v>
      </c>
    </row>
    <row r="22" spans="1:5" ht="42.75" customHeight="1" x14ac:dyDescent="0.25">
      <c r="A22" s="245" t="s">
        <v>49</v>
      </c>
      <c r="B22" s="64" t="s">
        <v>1309</v>
      </c>
      <c r="C22" s="43" t="s">
        <v>1094</v>
      </c>
      <c r="D22" s="1" t="s">
        <v>1317</v>
      </c>
      <c r="E22" s="25" t="s">
        <v>26</v>
      </c>
    </row>
    <row r="23" spans="1:5" ht="42.75" customHeight="1" x14ac:dyDescent="0.25">
      <c r="A23" s="245" t="s">
        <v>49</v>
      </c>
      <c r="B23" s="64" t="s">
        <v>1309</v>
      </c>
      <c r="C23" s="43" t="s">
        <v>1318</v>
      </c>
      <c r="D23" s="1" t="s">
        <v>1319</v>
      </c>
      <c r="E23" s="25" t="s">
        <v>26</v>
      </c>
    </row>
    <row r="24" spans="1:5" ht="42.75" customHeight="1" x14ac:dyDescent="0.25">
      <c r="A24" s="245" t="s">
        <v>49</v>
      </c>
      <c r="B24" s="64" t="s">
        <v>1309</v>
      </c>
      <c r="C24" s="43" t="s">
        <v>1318</v>
      </c>
      <c r="D24" s="1" t="s">
        <v>1320</v>
      </c>
      <c r="E24" s="25" t="s">
        <v>31</v>
      </c>
    </row>
    <row r="25" spans="1:5" ht="42.75" customHeight="1" x14ac:dyDescent="0.25">
      <c r="A25" s="245" t="s">
        <v>49</v>
      </c>
      <c r="B25" s="64" t="s">
        <v>1309</v>
      </c>
      <c r="C25" s="43" t="s">
        <v>1318</v>
      </c>
      <c r="D25" s="1" t="s">
        <v>1321</v>
      </c>
      <c r="E25" s="25" t="s">
        <v>22</v>
      </c>
    </row>
    <row r="26" spans="1:5" ht="42.75" customHeight="1" x14ac:dyDescent="0.25">
      <c r="A26" s="245" t="s">
        <v>151</v>
      </c>
      <c r="B26" s="64" t="s">
        <v>1322</v>
      </c>
      <c r="C26" s="43" t="s">
        <v>852</v>
      </c>
      <c r="D26" s="1" t="s">
        <v>1323</v>
      </c>
      <c r="E26" s="25" t="s">
        <v>26</v>
      </c>
    </row>
    <row r="27" spans="1:5" ht="42.75" customHeight="1" x14ac:dyDescent="0.25">
      <c r="A27" s="245" t="s">
        <v>151</v>
      </c>
      <c r="B27" s="64" t="s">
        <v>1322</v>
      </c>
      <c r="C27" s="43" t="s">
        <v>852</v>
      </c>
      <c r="D27" s="1" t="s">
        <v>1324</v>
      </c>
      <c r="E27" s="25" t="s">
        <v>31</v>
      </c>
    </row>
    <row r="28" spans="1:5" ht="42.75" customHeight="1" x14ac:dyDescent="0.25">
      <c r="A28" s="245" t="s">
        <v>151</v>
      </c>
      <c r="B28" s="64" t="s">
        <v>1322</v>
      </c>
      <c r="C28" s="43" t="s">
        <v>852</v>
      </c>
      <c r="D28" s="1" t="s">
        <v>1325</v>
      </c>
      <c r="E28" s="25" t="s">
        <v>26</v>
      </c>
    </row>
    <row r="29" spans="1:5" ht="42.75" customHeight="1" x14ac:dyDescent="0.25">
      <c r="A29" s="245" t="s">
        <v>151</v>
      </c>
      <c r="B29" s="64" t="s">
        <v>1322</v>
      </c>
      <c r="C29" s="43" t="s">
        <v>1326</v>
      </c>
      <c r="D29" s="1" t="s">
        <v>1327</v>
      </c>
      <c r="E29" s="25" t="s">
        <v>22</v>
      </c>
    </row>
    <row r="30" spans="1:5" ht="42.75" customHeight="1" x14ac:dyDescent="0.25">
      <c r="A30" s="245" t="s">
        <v>151</v>
      </c>
      <c r="B30" s="64" t="s">
        <v>1322</v>
      </c>
      <c r="C30" s="43" t="s">
        <v>1326</v>
      </c>
      <c r="D30" s="1" t="s">
        <v>1328</v>
      </c>
      <c r="E30" s="25" t="s">
        <v>22</v>
      </c>
    </row>
    <row r="31" spans="1:5" ht="42.75" customHeight="1" x14ac:dyDescent="0.25">
      <c r="A31" s="245" t="s">
        <v>151</v>
      </c>
      <c r="B31" s="64" t="s">
        <v>1322</v>
      </c>
      <c r="C31" s="43" t="s">
        <v>1329</v>
      </c>
      <c r="D31" s="1" t="s">
        <v>1330</v>
      </c>
      <c r="E31" s="25" t="s">
        <v>22</v>
      </c>
    </row>
    <row r="32" spans="1:5" ht="42.75" customHeight="1" x14ac:dyDescent="0.25">
      <c r="A32" s="245" t="s">
        <v>151</v>
      </c>
      <c r="B32" s="64" t="s">
        <v>1322</v>
      </c>
      <c r="C32" s="43" t="s">
        <v>429</v>
      </c>
      <c r="D32" s="1" t="s">
        <v>1331</v>
      </c>
      <c r="E32" s="25" t="s">
        <v>31</v>
      </c>
    </row>
    <row r="33" spans="1:5" ht="42.75" customHeight="1" x14ac:dyDescent="0.25">
      <c r="A33" s="247" t="s">
        <v>151</v>
      </c>
      <c r="B33" s="64" t="s">
        <v>1322</v>
      </c>
      <c r="C33" s="43" t="s">
        <v>426</v>
      </c>
      <c r="D33" s="1" t="s">
        <v>1332</v>
      </c>
      <c r="E33" s="25" t="s">
        <v>31</v>
      </c>
    </row>
    <row r="34" spans="1:5" ht="42.75" customHeight="1" x14ac:dyDescent="0.25">
      <c r="A34" s="245" t="s">
        <v>151</v>
      </c>
      <c r="B34" s="64" t="s">
        <v>1333</v>
      </c>
      <c r="C34" s="43" t="s">
        <v>1334</v>
      </c>
      <c r="D34" s="1" t="s">
        <v>132</v>
      </c>
      <c r="E34" s="25" t="s">
        <v>26</v>
      </c>
    </row>
    <row r="35" spans="1:5" ht="42.75" customHeight="1" x14ac:dyDescent="0.25">
      <c r="A35" s="245" t="s">
        <v>151</v>
      </c>
      <c r="B35" s="64" t="s">
        <v>1333</v>
      </c>
      <c r="C35" s="43" t="s">
        <v>1334</v>
      </c>
      <c r="D35" s="1" t="s">
        <v>132</v>
      </c>
      <c r="E35" s="25" t="s">
        <v>31</v>
      </c>
    </row>
    <row r="36" spans="1:5" ht="42.75" customHeight="1" x14ac:dyDescent="0.25">
      <c r="A36" s="245" t="s">
        <v>151</v>
      </c>
      <c r="B36" s="64" t="s">
        <v>1333</v>
      </c>
      <c r="C36" s="43" t="s">
        <v>1334</v>
      </c>
      <c r="D36" s="1" t="s">
        <v>132</v>
      </c>
      <c r="E36" s="25" t="s">
        <v>22</v>
      </c>
    </row>
    <row r="37" spans="1:5" ht="42.75" customHeight="1" x14ac:dyDescent="0.25">
      <c r="A37" s="245" t="s">
        <v>151</v>
      </c>
      <c r="B37" s="64" t="s">
        <v>1333</v>
      </c>
      <c r="C37" s="43" t="s">
        <v>1335</v>
      </c>
      <c r="D37" s="1" t="s">
        <v>1336</v>
      </c>
      <c r="E37" s="25" t="s">
        <v>26</v>
      </c>
    </row>
    <row r="38" spans="1:5" ht="42.75" customHeight="1" x14ac:dyDescent="0.25">
      <c r="A38" s="246" t="s">
        <v>151</v>
      </c>
      <c r="B38" s="66" t="s">
        <v>1333</v>
      </c>
      <c r="C38" s="45" t="s">
        <v>1335</v>
      </c>
      <c r="D38" s="16" t="s">
        <v>1337</v>
      </c>
      <c r="E38" s="39" t="s">
        <v>26</v>
      </c>
    </row>
    <row r="39" spans="1:5" ht="42.75" customHeight="1" x14ac:dyDescent="0.25">
      <c r="A39" s="245" t="s">
        <v>151</v>
      </c>
      <c r="B39" s="64" t="s">
        <v>1333</v>
      </c>
      <c r="C39" s="43" t="s">
        <v>1335</v>
      </c>
      <c r="D39" s="1" t="s">
        <v>1338</v>
      </c>
      <c r="E39" s="25" t="s">
        <v>31</v>
      </c>
    </row>
    <row r="40" spans="1:5" ht="42.75" customHeight="1" x14ac:dyDescent="0.25">
      <c r="A40" s="245" t="s">
        <v>151</v>
      </c>
      <c r="B40" s="64" t="s">
        <v>1333</v>
      </c>
      <c r="C40" s="43" t="s">
        <v>1339</v>
      </c>
      <c r="D40" s="1" t="s">
        <v>1340</v>
      </c>
      <c r="E40" s="25" t="s">
        <v>26</v>
      </c>
    </row>
    <row r="41" spans="1:5" ht="42.75" customHeight="1" x14ac:dyDescent="0.25">
      <c r="A41" s="245" t="s">
        <v>151</v>
      </c>
      <c r="B41" s="64" t="s">
        <v>1333</v>
      </c>
      <c r="C41" s="43" t="s">
        <v>1339</v>
      </c>
      <c r="D41" s="1" t="s">
        <v>584</v>
      </c>
      <c r="E41" s="25" t="s">
        <v>31</v>
      </c>
    </row>
    <row r="42" spans="1:5" ht="42.75" customHeight="1" x14ac:dyDescent="0.25">
      <c r="A42" s="247" t="s">
        <v>151</v>
      </c>
      <c r="B42" s="64" t="s">
        <v>1333</v>
      </c>
      <c r="C42" s="43" t="s">
        <v>1341</v>
      </c>
      <c r="D42" s="1" t="s">
        <v>586</v>
      </c>
      <c r="E42" s="25" t="s">
        <v>46</v>
      </c>
    </row>
    <row r="43" spans="1:5" ht="42.75" customHeight="1" x14ac:dyDescent="0.25">
      <c r="A43" s="245" t="s">
        <v>151</v>
      </c>
      <c r="B43" s="64" t="s">
        <v>1333</v>
      </c>
      <c r="C43" s="43" t="s">
        <v>1341</v>
      </c>
      <c r="D43" s="1" t="s">
        <v>585</v>
      </c>
      <c r="E43" s="25" t="s">
        <v>26</v>
      </c>
    </row>
    <row r="44" spans="1:5" ht="42.75" customHeight="1" x14ac:dyDescent="0.25">
      <c r="A44" s="246" t="s">
        <v>151</v>
      </c>
      <c r="B44" s="66" t="s">
        <v>1333</v>
      </c>
      <c r="C44" s="45" t="s">
        <v>1341</v>
      </c>
      <c r="D44" s="16" t="s">
        <v>1342</v>
      </c>
      <c r="E44" s="39" t="s">
        <v>22</v>
      </c>
    </row>
    <row r="45" spans="1:5" ht="42.75" customHeight="1" x14ac:dyDescent="0.25">
      <c r="A45" s="245" t="s">
        <v>151</v>
      </c>
      <c r="B45" s="64" t="s">
        <v>1333</v>
      </c>
      <c r="C45" s="43" t="s">
        <v>1343</v>
      </c>
      <c r="D45" s="1" t="s">
        <v>1344</v>
      </c>
      <c r="E45" s="25" t="s">
        <v>26</v>
      </c>
    </row>
    <row r="46" spans="1:5" ht="42.75" customHeight="1" x14ac:dyDescent="0.25">
      <c r="A46" s="245" t="s">
        <v>151</v>
      </c>
      <c r="B46" s="64" t="s">
        <v>1333</v>
      </c>
      <c r="C46" s="43" t="s">
        <v>1343</v>
      </c>
      <c r="D46" s="1" t="s">
        <v>1345</v>
      </c>
      <c r="E46" s="25" t="s">
        <v>26</v>
      </c>
    </row>
    <row r="47" spans="1:5" ht="42.75" customHeight="1" x14ac:dyDescent="0.25">
      <c r="A47" s="245" t="s">
        <v>120</v>
      </c>
      <c r="B47" s="64" t="s">
        <v>1346</v>
      </c>
      <c r="C47" s="43" t="s">
        <v>1347</v>
      </c>
      <c r="D47" s="1" t="s">
        <v>1348</v>
      </c>
      <c r="E47" s="25" t="s">
        <v>22</v>
      </c>
    </row>
    <row r="48" spans="1:5" ht="42.75" customHeight="1" x14ac:dyDescent="0.25">
      <c r="A48" s="245" t="s">
        <v>120</v>
      </c>
      <c r="B48" s="64" t="s">
        <v>1346</v>
      </c>
      <c r="C48" s="43" t="s">
        <v>1347</v>
      </c>
      <c r="D48" s="1" t="s">
        <v>1349</v>
      </c>
      <c r="E48" s="25" t="s">
        <v>22</v>
      </c>
    </row>
    <row r="49" spans="1:5" ht="42.75" customHeight="1" x14ac:dyDescent="0.25">
      <c r="A49" s="245" t="s">
        <v>120</v>
      </c>
      <c r="B49" s="64" t="s">
        <v>1346</v>
      </c>
      <c r="C49" s="43" t="s">
        <v>1347</v>
      </c>
      <c r="D49" s="1" t="s">
        <v>1350</v>
      </c>
      <c r="E49" s="25" t="s">
        <v>22</v>
      </c>
    </row>
    <row r="50" spans="1:5" ht="63" customHeight="1" x14ac:dyDescent="0.25">
      <c r="A50" s="245" t="s">
        <v>120</v>
      </c>
      <c r="B50" s="64" t="s">
        <v>1346</v>
      </c>
      <c r="C50" s="43" t="s">
        <v>1347</v>
      </c>
      <c r="D50" s="1" t="s">
        <v>1351</v>
      </c>
      <c r="E50" s="25" t="s">
        <v>22</v>
      </c>
    </row>
    <row r="51" spans="1:5" ht="63" customHeight="1" x14ac:dyDescent="0.25">
      <c r="A51" s="245" t="s">
        <v>120</v>
      </c>
      <c r="B51" s="64" t="s">
        <v>1346</v>
      </c>
      <c r="C51" s="43" t="s">
        <v>1347</v>
      </c>
      <c r="D51" s="1" t="s">
        <v>1352</v>
      </c>
      <c r="E51" s="25" t="s">
        <v>22</v>
      </c>
    </row>
    <row r="52" spans="1:5" ht="42.75" customHeight="1" x14ac:dyDescent="0.25">
      <c r="A52" s="245" t="s">
        <v>120</v>
      </c>
      <c r="B52" s="64" t="s">
        <v>1346</v>
      </c>
      <c r="C52" s="43" t="s">
        <v>1347</v>
      </c>
      <c r="D52" s="1" t="s">
        <v>1353</v>
      </c>
      <c r="E52" s="25" t="s">
        <v>22</v>
      </c>
    </row>
    <row r="53" spans="1:5" ht="42.75" customHeight="1" x14ac:dyDescent="0.25">
      <c r="A53" s="245" t="s">
        <v>120</v>
      </c>
      <c r="B53" s="64" t="s">
        <v>1346</v>
      </c>
      <c r="C53" s="43" t="s">
        <v>1347</v>
      </c>
      <c r="D53" s="1" t="s">
        <v>1354</v>
      </c>
      <c r="E53" s="25" t="s">
        <v>22</v>
      </c>
    </row>
    <row r="54" spans="1:5" ht="42.75" customHeight="1" x14ac:dyDescent="0.25">
      <c r="A54" s="245" t="s">
        <v>120</v>
      </c>
      <c r="B54" s="64" t="s">
        <v>1346</v>
      </c>
      <c r="C54" s="43" t="s">
        <v>1347</v>
      </c>
      <c r="D54" s="1" t="s">
        <v>1355</v>
      </c>
      <c r="E54" s="25" t="s">
        <v>22</v>
      </c>
    </row>
    <row r="55" spans="1:5" ht="42.75" customHeight="1" x14ac:dyDescent="0.25">
      <c r="A55" s="245" t="s">
        <v>120</v>
      </c>
      <c r="B55" s="64" t="s">
        <v>1346</v>
      </c>
      <c r="C55" s="43" t="s">
        <v>1347</v>
      </c>
      <c r="D55" s="1" t="s">
        <v>1356</v>
      </c>
      <c r="E55" s="25" t="s">
        <v>22</v>
      </c>
    </row>
    <row r="56" spans="1:5" ht="42.75" customHeight="1" x14ac:dyDescent="0.25">
      <c r="A56" s="245" t="s">
        <v>120</v>
      </c>
      <c r="B56" s="64" t="s">
        <v>1346</v>
      </c>
      <c r="C56" s="43" t="s">
        <v>1347</v>
      </c>
      <c r="D56" s="1" t="s">
        <v>1357</v>
      </c>
      <c r="E56" s="25" t="s">
        <v>22</v>
      </c>
    </row>
    <row r="57" spans="1:5" ht="42.75" customHeight="1" x14ac:dyDescent="0.25">
      <c r="A57" s="245" t="s">
        <v>120</v>
      </c>
      <c r="B57" s="64" t="s">
        <v>1346</v>
      </c>
      <c r="C57" s="43" t="s">
        <v>1347</v>
      </c>
      <c r="D57" s="1" t="s">
        <v>1358</v>
      </c>
      <c r="E57" s="25" t="s">
        <v>22</v>
      </c>
    </row>
    <row r="58" spans="1:5" ht="42.75" customHeight="1" x14ac:dyDescent="0.25">
      <c r="A58" s="245" t="s">
        <v>120</v>
      </c>
      <c r="B58" s="64" t="s">
        <v>1346</v>
      </c>
      <c r="C58" s="43" t="s">
        <v>1347</v>
      </c>
      <c r="D58" s="1" t="s">
        <v>740</v>
      </c>
      <c r="E58" s="25" t="s">
        <v>22</v>
      </c>
    </row>
    <row r="59" spans="1:5" ht="61.5" customHeight="1" x14ac:dyDescent="0.25">
      <c r="A59" s="245" t="s">
        <v>120</v>
      </c>
      <c r="B59" s="64" t="s">
        <v>1346</v>
      </c>
      <c r="C59" s="43" t="s">
        <v>1347</v>
      </c>
      <c r="D59" s="1" t="s">
        <v>1359</v>
      </c>
      <c r="E59" s="25" t="s">
        <v>22</v>
      </c>
    </row>
    <row r="60" spans="1:5" ht="42.75" customHeight="1" x14ac:dyDescent="0.25">
      <c r="A60" s="245" t="s">
        <v>120</v>
      </c>
      <c r="B60" s="64" t="s">
        <v>1346</v>
      </c>
      <c r="C60" s="43" t="s">
        <v>1360</v>
      </c>
      <c r="D60" s="1" t="s">
        <v>1361</v>
      </c>
      <c r="E60" s="25" t="s">
        <v>31</v>
      </c>
    </row>
    <row r="61" spans="1:5" ht="42.75" customHeight="1" x14ac:dyDescent="0.25">
      <c r="A61" s="247" t="s">
        <v>120</v>
      </c>
      <c r="B61" s="64" t="s">
        <v>1346</v>
      </c>
      <c r="C61" s="43" t="s">
        <v>1360</v>
      </c>
      <c r="D61" s="1" t="s">
        <v>1362</v>
      </c>
      <c r="E61" s="25" t="s">
        <v>31</v>
      </c>
    </row>
    <row r="62" spans="1:5" ht="42.75" customHeight="1" x14ac:dyDescent="0.25">
      <c r="A62" s="245" t="s">
        <v>120</v>
      </c>
      <c r="B62" s="64" t="s">
        <v>1346</v>
      </c>
      <c r="C62" s="43" t="s">
        <v>1360</v>
      </c>
      <c r="D62" s="1" t="s">
        <v>1363</v>
      </c>
      <c r="E62" s="25" t="s">
        <v>31</v>
      </c>
    </row>
    <row r="63" spans="1:5" ht="42.75" customHeight="1" x14ac:dyDescent="0.25">
      <c r="A63" s="245" t="s">
        <v>120</v>
      </c>
      <c r="B63" s="64" t="s">
        <v>1346</v>
      </c>
      <c r="C63" s="43" t="s">
        <v>1364</v>
      </c>
      <c r="D63" s="1" t="s">
        <v>1365</v>
      </c>
      <c r="E63" s="25" t="s">
        <v>31</v>
      </c>
    </row>
    <row r="64" spans="1:5" ht="42.75" customHeight="1" x14ac:dyDescent="0.25">
      <c r="A64" s="245" t="s">
        <v>120</v>
      </c>
      <c r="B64" s="64" t="s">
        <v>1346</v>
      </c>
      <c r="C64" s="43" t="s">
        <v>1364</v>
      </c>
      <c r="D64" s="1" t="s">
        <v>1366</v>
      </c>
      <c r="E64" s="25" t="s">
        <v>31</v>
      </c>
    </row>
    <row r="65" spans="1:5" ht="42.75" customHeight="1" x14ac:dyDescent="0.25">
      <c r="A65" s="245" t="s">
        <v>120</v>
      </c>
      <c r="B65" s="64" t="s">
        <v>1346</v>
      </c>
      <c r="C65" s="43" t="s">
        <v>1364</v>
      </c>
      <c r="D65" s="1" t="s">
        <v>1367</v>
      </c>
      <c r="E65" s="25" t="s">
        <v>31</v>
      </c>
    </row>
    <row r="66" spans="1:5" ht="42.75" customHeight="1" x14ac:dyDescent="0.25">
      <c r="A66" s="245" t="s">
        <v>120</v>
      </c>
      <c r="B66" s="64" t="s">
        <v>1346</v>
      </c>
      <c r="C66" s="43" t="s">
        <v>1364</v>
      </c>
      <c r="D66" s="1" t="s">
        <v>1368</v>
      </c>
      <c r="E66" s="25" t="s">
        <v>22</v>
      </c>
    </row>
    <row r="67" spans="1:5" ht="42.75" customHeight="1" x14ac:dyDescent="0.25">
      <c r="A67" s="246" t="s">
        <v>120</v>
      </c>
      <c r="B67" s="66" t="s">
        <v>1346</v>
      </c>
      <c r="C67" s="45" t="s">
        <v>1369</v>
      </c>
      <c r="D67" s="16" t="s">
        <v>1370</v>
      </c>
      <c r="E67" s="39" t="s">
        <v>31</v>
      </c>
    </row>
    <row r="68" spans="1:5" ht="42.75" customHeight="1" x14ac:dyDescent="0.25">
      <c r="A68" s="245" t="s">
        <v>120</v>
      </c>
      <c r="B68" s="64" t="s">
        <v>1346</v>
      </c>
      <c r="C68" s="43" t="s">
        <v>1369</v>
      </c>
      <c r="D68" s="1" t="s">
        <v>1371</v>
      </c>
      <c r="E68" s="25" t="s">
        <v>31</v>
      </c>
    </row>
    <row r="69" spans="1:5" ht="42.75" customHeight="1" x14ac:dyDescent="0.25">
      <c r="A69" s="245" t="s">
        <v>120</v>
      </c>
      <c r="B69" s="64" t="s">
        <v>1346</v>
      </c>
      <c r="C69" s="43" t="s">
        <v>1369</v>
      </c>
      <c r="D69" s="1" t="s">
        <v>1372</v>
      </c>
      <c r="E69" s="25" t="s">
        <v>22</v>
      </c>
    </row>
    <row r="70" spans="1:5" ht="42.75" customHeight="1" x14ac:dyDescent="0.25">
      <c r="A70" s="246" t="s">
        <v>120</v>
      </c>
      <c r="B70" s="66" t="s">
        <v>1346</v>
      </c>
      <c r="C70" s="45" t="s">
        <v>1369</v>
      </c>
      <c r="D70" s="16" t="s">
        <v>1373</v>
      </c>
      <c r="E70" s="39" t="s">
        <v>31</v>
      </c>
    </row>
    <row r="71" spans="1:5" ht="42.75" customHeight="1" x14ac:dyDescent="0.25">
      <c r="A71" s="245" t="s">
        <v>120</v>
      </c>
      <c r="B71" s="64" t="s">
        <v>1346</v>
      </c>
      <c r="C71" s="43" t="s">
        <v>1374</v>
      </c>
      <c r="D71" s="1" t="s">
        <v>1375</v>
      </c>
      <c r="E71" s="25" t="s">
        <v>22</v>
      </c>
    </row>
    <row r="72" spans="1:5" ht="42.75" customHeight="1" x14ac:dyDescent="0.25">
      <c r="A72" s="245" t="s">
        <v>120</v>
      </c>
      <c r="B72" s="64" t="s">
        <v>1346</v>
      </c>
      <c r="C72" s="43" t="s">
        <v>1374</v>
      </c>
      <c r="D72" s="1" t="s">
        <v>1376</v>
      </c>
      <c r="E72" s="25" t="s">
        <v>31</v>
      </c>
    </row>
    <row r="73" spans="1:5" ht="42.75" customHeight="1" x14ac:dyDescent="0.25">
      <c r="A73" s="245" t="s">
        <v>120</v>
      </c>
      <c r="B73" s="64" t="s">
        <v>1346</v>
      </c>
      <c r="C73" s="43" t="s">
        <v>1374</v>
      </c>
      <c r="D73" s="1" t="s">
        <v>1377</v>
      </c>
      <c r="E73" s="25" t="s">
        <v>31</v>
      </c>
    </row>
    <row r="74" spans="1:5" ht="42.75" customHeight="1" x14ac:dyDescent="0.25">
      <c r="A74" s="245" t="s">
        <v>120</v>
      </c>
      <c r="B74" s="64" t="s">
        <v>1346</v>
      </c>
      <c r="C74" s="43" t="s">
        <v>1374</v>
      </c>
      <c r="D74" s="1" t="s">
        <v>1378</v>
      </c>
      <c r="E74" s="25" t="s">
        <v>22</v>
      </c>
    </row>
    <row r="75" spans="1:5" ht="42.75" customHeight="1" x14ac:dyDescent="0.25">
      <c r="A75" s="245" t="s">
        <v>120</v>
      </c>
      <c r="B75" s="64" t="s">
        <v>1346</v>
      </c>
      <c r="C75" s="43" t="s">
        <v>1374</v>
      </c>
      <c r="D75" s="1" t="s">
        <v>1379</v>
      </c>
      <c r="E75" s="25" t="s">
        <v>22</v>
      </c>
    </row>
    <row r="76" spans="1:5" ht="42.75" customHeight="1" x14ac:dyDescent="0.25">
      <c r="A76" s="245" t="s">
        <v>120</v>
      </c>
      <c r="B76" s="64" t="s">
        <v>1346</v>
      </c>
      <c r="C76" s="43" t="s">
        <v>1380</v>
      </c>
      <c r="D76" s="1" t="s">
        <v>1381</v>
      </c>
      <c r="E76" s="25" t="s">
        <v>22</v>
      </c>
    </row>
    <row r="77" spans="1:5" ht="42.75" customHeight="1" x14ac:dyDescent="0.25">
      <c r="A77" s="245" t="s">
        <v>120</v>
      </c>
      <c r="B77" s="64" t="s">
        <v>1346</v>
      </c>
      <c r="C77" s="43" t="s">
        <v>1382</v>
      </c>
      <c r="D77" s="1" t="s">
        <v>1383</v>
      </c>
      <c r="E77" s="25" t="s">
        <v>26</v>
      </c>
    </row>
    <row r="78" spans="1:5" ht="42.75" customHeight="1" x14ac:dyDescent="0.25">
      <c r="A78" s="245" t="s">
        <v>120</v>
      </c>
      <c r="B78" s="64" t="s">
        <v>1346</v>
      </c>
      <c r="C78" s="43" t="s">
        <v>1382</v>
      </c>
      <c r="D78" s="1" t="s">
        <v>1384</v>
      </c>
      <c r="E78" s="25" t="s">
        <v>22</v>
      </c>
    </row>
    <row r="79" spans="1:5" ht="42.75" customHeight="1" x14ac:dyDescent="0.25">
      <c r="A79" s="245" t="s">
        <v>120</v>
      </c>
      <c r="B79" s="64" t="s">
        <v>1346</v>
      </c>
      <c r="C79" s="43" t="s">
        <v>1382</v>
      </c>
      <c r="D79" s="1" t="s">
        <v>1385</v>
      </c>
      <c r="E79" s="25" t="s">
        <v>26</v>
      </c>
    </row>
    <row r="80" spans="1:5" ht="42.75" customHeight="1" x14ac:dyDescent="0.25">
      <c r="A80" s="245" t="s">
        <v>120</v>
      </c>
      <c r="B80" s="64" t="s">
        <v>1346</v>
      </c>
      <c r="C80" s="43" t="s">
        <v>1382</v>
      </c>
      <c r="D80" s="1" t="s">
        <v>1386</v>
      </c>
      <c r="E80" s="25" t="s">
        <v>31</v>
      </c>
    </row>
    <row r="81" spans="1:5" ht="42.75" customHeight="1" x14ac:dyDescent="0.25">
      <c r="A81" s="246" t="s">
        <v>120</v>
      </c>
      <c r="B81" s="66" t="s">
        <v>1346</v>
      </c>
      <c r="C81" s="45" t="s">
        <v>1382</v>
      </c>
      <c r="D81" s="16" t="s">
        <v>1387</v>
      </c>
      <c r="E81" s="39" t="s">
        <v>31</v>
      </c>
    </row>
    <row r="82" spans="1:5" ht="42.75" customHeight="1" x14ac:dyDescent="0.25">
      <c r="A82" s="245" t="s">
        <v>120</v>
      </c>
      <c r="B82" s="64" t="s">
        <v>1346</v>
      </c>
      <c r="C82" s="43" t="s">
        <v>1382</v>
      </c>
      <c r="D82" s="1" t="s">
        <v>1388</v>
      </c>
      <c r="E82" s="25" t="s">
        <v>22</v>
      </c>
    </row>
    <row r="83" spans="1:5" ht="42.75" customHeight="1" x14ac:dyDescent="0.25">
      <c r="A83" s="245" t="s">
        <v>120</v>
      </c>
      <c r="B83" s="64" t="s">
        <v>1346</v>
      </c>
      <c r="C83" s="43" t="s">
        <v>1382</v>
      </c>
      <c r="D83" s="1" t="s">
        <v>1389</v>
      </c>
      <c r="E83" s="25" t="s">
        <v>22</v>
      </c>
    </row>
    <row r="84" spans="1:5" ht="42.75" customHeight="1" x14ac:dyDescent="0.25">
      <c r="A84" s="245" t="s">
        <v>120</v>
      </c>
      <c r="B84" s="64" t="s">
        <v>1346</v>
      </c>
      <c r="C84" s="43" t="s">
        <v>1382</v>
      </c>
      <c r="D84" s="1" t="s">
        <v>436</v>
      </c>
      <c r="E84" s="25" t="s">
        <v>26</v>
      </c>
    </row>
    <row r="85" spans="1:5" ht="42.75" customHeight="1" x14ac:dyDescent="0.25">
      <c r="A85" s="245" t="s">
        <v>120</v>
      </c>
      <c r="B85" s="64" t="s">
        <v>1346</v>
      </c>
      <c r="C85" s="43" t="s">
        <v>1382</v>
      </c>
      <c r="D85" s="1" t="s">
        <v>436</v>
      </c>
      <c r="E85" s="25" t="s">
        <v>31</v>
      </c>
    </row>
    <row r="86" spans="1:5" ht="42.75" customHeight="1" x14ac:dyDescent="0.25">
      <c r="A86" s="245" t="s">
        <v>120</v>
      </c>
      <c r="B86" s="64" t="s">
        <v>1346</v>
      </c>
      <c r="C86" s="43" t="s">
        <v>1382</v>
      </c>
      <c r="D86" s="1" t="s">
        <v>1390</v>
      </c>
      <c r="E86" s="25" t="s">
        <v>26</v>
      </c>
    </row>
    <row r="87" spans="1:5" ht="42.75" customHeight="1" x14ac:dyDescent="0.25">
      <c r="A87" s="245" t="s">
        <v>120</v>
      </c>
      <c r="B87" s="64" t="s">
        <v>1346</v>
      </c>
      <c r="C87" s="43" t="s">
        <v>1391</v>
      </c>
      <c r="D87" s="1" t="s">
        <v>1392</v>
      </c>
      <c r="E87" s="25" t="s">
        <v>31</v>
      </c>
    </row>
    <row r="88" spans="1:5" ht="42.75" customHeight="1" x14ac:dyDescent="0.25">
      <c r="A88" s="245" t="s">
        <v>120</v>
      </c>
      <c r="B88" s="64" t="s">
        <v>1346</v>
      </c>
      <c r="C88" s="43" t="s">
        <v>1391</v>
      </c>
      <c r="D88" s="1" t="s">
        <v>1393</v>
      </c>
      <c r="E88" s="25" t="s">
        <v>31</v>
      </c>
    </row>
    <row r="89" spans="1:5" ht="42.75" customHeight="1" x14ac:dyDescent="0.25">
      <c r="A89" s="245" t="s">
        <v>120</v>
      </c>
      <c r="B89" s="64" t="s">
        <v>1346</v>
      </c>
      <c r="C89" s="43" t="s">
        <v>1391</v>
      </c>
      <c r="D89" s="1" t="s">
        <v>1394</v>
      </c>
      <c r="E89" s="25" t="s">
        <v>22</v>
      </c>
    </row>
    <row r="90" spans="1:5" ht="42.75" customHeight="1" x14ac:dyDescent="0.25">
      <c r="A90" s="245" t="s">
        <v>120</v>
      </c>
      <c r="B90" s="64" t="s">
        <v>1346</v>
      </c>
      <c r="C90" s="43" t="s">
        <v>1391</v>
      </c>
      <c r="D90" s="1" t="s">
        <v>1395</v>
      </c>
      <c r="E90" s="25" t="s">
        <v>22</v>
      </c>
    </row>
    <row r="91" spans="1:5" ht="42.75" customHeight="1" x14ac:dyDescent="0.25">
      <c r="A91" s="245" t="s">
        <v>120</v>
      </c>
      <c r="B91" s="64" t="s">
        <v>1346</v>
      </c>
      <c r="C91" s="43" t="s">
        <v>1396</v>
      </c>
      <c r="D91" s="1" t="s">
        <v>130</v>
      </c>
      <c r="E91" s="25" t="s">
        <v>31</v>
      </c>
    </row>
    <row r="92" spans="1:5" ht="42.75" customHeight="1" x14ac:dyDescent="0.25">
      <c r="A92" s="245" t="s">
        <v>120</v>
      </c>
      <c r="B92" s="64" t="s">
        <v>1346</v>
      </c>
      <c r="C92" s="43" t="s">
        <v>1396</v>
      </c>
      <c r="D92" s="1" t="s">
        <v>1397</v>
      </c>
      <c r="E92" s="25" t="s">
        <v>22</v>
      </c>
    </row>
    <row r="93" spans="1:5" ht="42.75" customHeight="1" x14ac:dyDescent="0.25">
      <c r="A93" s="245" t="s">
        <v>120</v>
      </c>
      <c r="B93" s="64" t="s">
        <v>1346</v>
      </c>
      <c r="C93" s="43" t="s">
        <v>1396</v>
      </c>
      <c r="D93" s="1" t="s">
        <v>1398</v>
      </c>
      <c r="E93" s="25" t="s">
        <v>22</v>
      </c>
    </row>
    <row r="94" spans="1:5" ht="72" customHeight="1" x14ac:dyDescent="0.25">
      <c r="A94" s="245" t="s">
        <v>120</v>
      </c>
      <c r="B94" s="64" t="s">
        <v>1346</v>
      </c>
      <c r="C94" s="43" t="s">
        <v>1396</v>
      </c>
      <c r="D94" s="1" t="s">
        <v>1088</v>
      </c>
      <c r="E94" s="25" t="s">
        <v>31</v>
      </c>
    </row>
    <row r="95" spans="1:5" ht="42.75" customHeight="1" x14ac:dyDescent="0.25">
      <c r="A95" s="245" t="s">
        <v>120</v>
      </c>
      <c r="B95" s="64" t="s">
        <v>1346</v>
      </c>
      <c r="C95" s="43" t="s">
        <v>1396</v>
      </c>
      <c r="D95" s="1" t="s">
        <v>1399</v>
      </c>
      <c r="E95" s="25" t="s">
        <v>22</v>
      </c>
    </row>
    <row r="96" spans="1:5" ht="51.75" customHeight="1" x14ac:dyDescent="0.25">
      <c r="A96" s="245" t="s">
        <v>120</v>
      </c>
      <c r="B96" s="64" t="s">
        <v>1346</v>
      </c>
      <c r="C96" s="43" t="s">
        <v>1396</v>
      </c>
      <c r="D96" s="1" t="s">
        <v>1400</v>
      </c>
      <c r="E96" s="25" t="s">
        <v>22</v>
      </c>
    </row>
    <row r="97" spans="1:5" ht="42.75" customHeight="1" x14ac:dyDescent="0.25">
      <c r="A97" s="245" t="s">
        <v>120</v>
      </c>
      <c r="B97" s="64" t="s">
        <v>1346</v>
      </c>
      <c r="C97" s="43" t="s">
        <v>1396</v>
      </c>
      <c r="D97" s="1" t="s">
        <v>1401</v>
      </c>
      <c r="E97" s="25" t="s">
        <v>26</v>
      </c>
    </row>
    <row r="98" spans="1:5" ht="42.75" customHeight="1" x14ac:dyDescent="0.25">
      <c r="A98" s="245" t="s">
        <v>120</v>
      </c>
      <c r="B98" s="64" t="s">
        <v>1346</v>
      </c>
      <c r="C98" s="43" t="s">
        <v>1396</v>
      </c>
      <c r="D98" s="1" t="s">
        <v>1402</v>
      </c>
      <c r="E98" s="25" t="s">
        <v>22</v>
      </c>
    </row>
    <row r="99" spans="1:5" ht="42.75" customHeight="1" x14ac:dyDescent="0.25">
      <c r="A99" s="245" t="s">
        <v>39</v>
      </c>
      <c r="B99" s="64" t="s">
        <v>28</v>
      </c>
      <c r="C99" s="43" t="s">
        <v>1403</v>
      </c>
      <c r="D99" s="1" t="s">
        <v>1404</v>
      </c>
      <c r="E99" s="25" t="s">
        <v>26</v>
      </c>
    </row>
    <row r="100" spans="1:5" ht="42.75" customHeight="1" x14ac:dyDescent="0.25">
      <c r="A100" s="245" t="s">
        <v>39</v>
      </c>
      <c r="B100" s="64" t="s">
        <v>28</v>
      </c>
      <c r="C100" s="43" t="s">
        <v>1403</v>
      </c>
      <c r="D100" s="1" t="s">
        <v>1405</v>
      </c>
      <c r="E100" s="25" t="s">
        <v>26</v>
      </c>
    </row>
    <row r="101" spans="1:5" ht="42.75" customHeight="1" x14ac:dyDescent="0.25">
      <c r="A101" s="245" t="s">
        <v>39</v>
      </c>
      <c r="B101" s="64" t="s">
        <v>28</v>
      </c>
      <c r="C101" s="43" t="s">
        <v>1403</v>
      </c>
      <c r="D101" s="1" t="s">
        <v>1180</v>
      </c>
      <c r="E101" s="25" t="s">
        <v>26</v>
      </c>
    </row>
    <row r="102" spans="1:5" ht="42.75" customHeight="1" x14ac:dyDescent="0.25">
      <c r="A102" s="245" t="s">
        <v>39</v>
      </c>
      <c r="B102" s="64" t="s">
        <v>28</v>
      </c>
      <c r="C102" s="43" t="s">
        <v>1403</v>
      </c>
      <c r="D102" s="1" t="s">
        <v>1406</v>
      </c>
      <c r="E102" s="25" t="s">
        <v>26</v>
      </c>
    </row>
    <row r="103" spans="1:5" ht="42.75" customHeight="1" x14ac:dyDescent="0.25">
      <c r="A103" s="245" t="s">
        <v>39</v>
      </c>
      <c r="B103" s="64" t="s">
        <v>28</v>
      </c>
      <c r="C103" s="43" t="s">
        <v>1407</v>
      </c>
      <c r="D103" s="1" t="s">
        <v>1408</v>
      </c>
      <c r="E103" s="25" t="s">
        <v>26</v>
      </c>
    </row>
    <row r="104" spans="1:5" ht="42.75" customHeight="1" x14ac:dyDescent="0.25">
      <c r="A104" s="245" t="s">
        <v>39</v>
      </c>
      <c r="B104" s="64" t="s">
        <v>28</v>
      </c>
      <c r="C104" s="43" t="s">
        <v>1407</v>
      </c>
      <c r="D104" s="1" t="s">
        <v>1409</v>
      </c>
      <c r="E104" s="25" t="s">
        <v>26</v>
      </c>
    </row>
    <row r="105" spans="1:5" ht="42.75" customHeight="1" x14ac:dyDescent="0.25">
      <c r="A105" s="245" t="s">
        <v>39</v>
      </c>
      <c r="B105" s="64" t="s">
        <v>28</v>
      </c>
      <c r="C105" s="43" t="s">
        <v>1407</v>
      </c>
      <c r="D105" s="1" t="s">
        <v>975</v>
      </c>
      <c r="E105" s="25" t="s">
        <v>26</v>
      </c>
    </row>
    <row r="106" spans="1:5" ht="42.75" customHeight="1" x14ac:dyDescent="0.25">
      <c r="A106" s="245" t="s">
        <v>39</v>
      </c>
      <c r="B106" s="64" t="s">
        <v>28</v>
      </c>
      <c r="C106" s="43" t="s">
        <v>1407</v>
      </c>
      <c r="D106" s="1" t="s">
        <v>1410</v>
      </c>
      <c r="E106" s="25" t="s">
        <v>26</v>
      </c>
    </row>
    <row r="107" spans="1:5" ht="42.75" customHeight="1" x14ac:dyDescent="0.25">
      <c r="A107" s="245" t="s">
        <v>39</v>
      </c>
      <c r="B107" s="64" t="s">
        <v>28</v>
      </c>
      <c r="C107" s="43" t="s">
        <v>1407</v>
      </c>
      <c r="D107" s="1" t="s">
        <v>1411</v>
      </c>
      <c r="E107" s="25" t="s">
        <v>26</v>
      </c>
    </row>
    <row r="108" spans="1:5" ht="42.75" customHeight="1" x14ac:dyDescent="0.25">
      <c r="A108" s="245" t="s">
        <v>39</v>
      </c>
      <c r="B108" s="64" t="s">
        <v>28</v>
      </c>
      <c r="C108" s="43" t="s">
        <v>1407</v>
      </c>
      <c r="D108" s="1" t="s">
        <v>1412</v>
      </c>
      <c r="E108" s="25" t="s">
        <v>26</v>
      </c>
    </row>
    <row r="109" spans="1:5" ht="42.75" customHeight="1" x14ac:dyDescent="0.25">
      <c r="A109" s="246" t="s">
        <v>39</v>
      </c>
      <c r="B109" s="66" t="s">
        <v>28</v>
      </c>
      <c r="C109" s="45" t="s">
        <v>1407</v>
      </c>
      <c r="D109" s="16" t="s">
        <v>1413</v>
      </c>
      <c r="E109" s="39" t="s">
        <v>26</v>
      </c>
    </row>
    <row r="110" spans="1:5" ht="80.25" customHeight="1" x14ac:dyDescent="0.25">
      <c r="A110" s="245" t="s">
        <v>39</v>
      </c>
      <c r="B110" s="64" t="s">
        <v>28</v>
      </c>
      <c r="C110" s="43" t="s">
        <v>1414</v>
      </c>
      <c r="D110" s="1" t="s">
        <v>1415</v>
      </c>
      <c r="E110" s="25" t="s">
        <v>26</v>
      </c>
    </row>
    <row r="111" spans="1:5" ht="60" customHeight="1" x14ac:dyDescent="0.25">
      <c r="A111" s="245" t="s">
        <v>39</v>
      </c>
      <c r="B111" s="64" t="s">
        <v>28</v>
      </c>
      <c r="C111" s="43" t="s">
        <v>1414</v>
      </c>
      <c r="D111" s="1" t="s">
        <v>1416</v>
      </c>
      <c r="E111" s="25" t="s">
        <v>26</v>
      </c>
    </row>
    <row r="112" spans="1:5" ht="42.75" customHeight="1" x14ac:dyDescent="0.25">
      <c r="A112" s="245" t="s">
        <v>39</v>
      </c>
      <c r="B112" s="64" t="s">
        <v>28</v>
      </c>
      <c r="C112" s="43" t="s">
        <v>1414</v>
      </c>
      <c r="D112" s="1" t="s">
        <v>1417</v>
      </c>
      <c r="E112" s="25" t="s">
        <v>26</v>
      </c>
    </row>
    <row r="113" spans="1:5" ht="42.75" customHeight="1" x14ac:dyDescent="0.25">
      <c r="A113" s="246" t="s">
        <v>39</v>
      </c>
      <c r="B113" s="66" t="s">
        <v>28</v>
      </c>
      <c r="C113" s="45" t="s">
        <v>1414</v>
      </c>
      <c r="D113" s="16" t="s">
        <v>1418</v>
      </c>
      <c r="E113" s="39" t="s">
        <v>26</v>
      </c>
    </row>
    <row r="114" spans="1:5" ht="42.75" customHeight="1" x14ac:dyDescent="0.25">
      <c r="A114" s="245" t="s">
        <v>39</v>
      </c>
      <c r="B114" s="64" t="s">
        <v>28</v>
      </c>
      <c r="C114" s="43" t="s">
        <v>1414</v>
      </c>
      <c r="D114" s="1" t="s">
        <v>1419</v>
      </c>
      <c r="E114" s="25" t="s">
        <v>26</v>
      </c>
    </row>
    <row r="115" spans="1:5" ht="42.75" customHeight="1" x14ac:dyDescent="0.25">
      <c r="A115" s="245" t="s">
        <v>39</v>
      </c>
      <c r="B115" s="64" t="s">
        <v>28</v>
      </c>
      <c r="C115" s="43" t="s">
        <v>1414</v>
      </c>
      <c r="D115" s="1" t="s">
        <v>1420</v>
      </c>
      <c r="E115" s="25" t="s">
        <v>26</v>
      </c>
    </row>
    <row r="116" spans="1:5" ht="42.75" customHeight="1" x14ac:dyDescent="0.25">
      <c r="A116" s="245" t="s">
        <v>39</v>
      </c>
      <c r="B116" s="64" t="s">
        <v>28</v>
      </c>
      <c r="C116" s="43" t="s">
        <v>1414</v>
      </c>
      <c r="D116" s="1" t="s">
        <v>1421</v>
      </c>
      <c r="E116" s="25" t="s">
        <v>26</v>
      </c>
    </row>
    <row r="117" spans="1:5" ht="42.75" customHeight="1" x14ac:dyDescent="0.25">
      <c r="A117" s="245" t="s">
        <v>39</v>
      </c>
      <c r="B117" s="64" t="s">
        <v>28</v>
      </c>
      <c r="C117" s="43" t="s">
        <v>1414</v>
      </c>
      <c r="D117" s="1" t="s">
        <v>1422</v>
      </c>
      <c r="E117" s="25" t="s">
        <v>26</v>
      </c>
    </row>
    <row r="118" spans="1:5" ht="42.75" customHeight="1" x14ac:dyDescent="0.25">
      <c r="A118" s="245" t="s">
        <v>39</v>
      </c>
      <c r="B118" s="64" t="s">
        <v>28</v>
      </c>
      <c r="C118" s="43" t="s">
        <v>1414</v>
      </c>
      <c r="D118" s="1" t="s">
        <v>1423</v>
      </c>
      <c r="E118" s="25" t="s">
        <v>26</v>
      </c>
    </row>
    <row r="119" spans="1:5" ht="42.75" customHeight="1" x14ac:dyDescent="0.25">
      <c r="A119" s="245" t="s">
        <v>39</v>
      </c>
      <c r="B119" s="64" t="s">
        <v>28</v>
      </c>
      <c r="C119" s="43" t="s">
        <v>1414</v>
      </c>
      <c r="D119" s="1" t="s">
        <v>1424</v>
      </c>
      <c r="E119" s="25" t="s">
        <v>26</v>
      </c>
    </row>
    <row r="120" spans="1:5" ht="42.75" customHeight="1" x14ac:dyDescent="0.25">
      <c r="A120" s="245" t="s">
        <v>39</v>
      </c>
      <c r="B120" s="64" t="s">
        <v>28</v>
      </c>
      <c r="C120" s="43" t="s">
        <v>1414</v>
      </c>
      <c r="D120" s="1" t="s">
        <v>1425</v>
      </c>
      <c r="E120" s="25" t="s">
        <v>26</v>
      </c>
    </row>
    <row r="121" spans="1:5" ht="42.75" customHeight="1" x14ac:dyDescent="0.25">
      <c r="A121" s="246" t="s">
        <v>39</v>
      </c>
      <c r="B121" s="66" t="s">
        <v>28</v>
      </c>
      <c r="C121" s="45" t="s">
        <v>1414</v>
      </c>
      <c r="D121" s="16" t="s">
        <v>1426</v>
      </c>
      <c r="E121" s="39" t="s">
        <v>26</v>
      </c>
    </row>
    <row r="122" spans="1:5" ht="42.75" customHeight="1" x14ac:dyDescent="0.25">
      <c r="A122" s="246" t="s">
        <v>39</v>
      </c>
      <c r="B122" s="66" t="s">
        <v>28</v>
      </c>
      <c r="C122" s="45" t="s">
        <v>1414</v>
      </c>
      <c r="D122" s="16" t="s">
        <v>1427</v>
      </c>
      <c r="E122" s="39" t="s">
        <v>26</v>
      </c>
    </row>
    <row r="123" spans="1:5" ht="42.75" customHeight="1" x14ac:dyDescent="0.25">
      <c r="A123" s="245" t="s">
        <v>39</v>
      </c>
      <c r="B123" s="64" t="s">
        <v>28</v>
      </c>
      <c r="C123" s="43" t="s">
        <v>1414</v>
      </c>
      <c r="D123" s="1" t="s">
        <v>1428</v>
      </c>
      <c r="E123" s="25" t="s">
        <v>26</v>
      </c>
    </row>
    <row r="124" spans="1:5" ht="42.75" customHeight="1" x14ac:dyDescent="0.25">
      <c r="A124" s="245" t="s">
        <v>39</v>
      </c>
      <c r="B124" s="64" t="s">
        <v>28</v>
      </c>
      <c r="C124" s="43" t="s">
        <v>1414</v>
      </c>
      <c r="D124" s="1" t="s">
        <v>1429</v>
      </c>
      <c r="E124" s="25" t="s">
        <v>26</v>
      </c>
    </row>
    <row r="125" spans="1:5" ht="42.75" customHeight="1" x14ac:dyDescent="0.25">
      <c r="A125" s="245" t="s">
        <v>39</v>
      </c>
      <c r="B125" s="64" t="s">
        <v>28</v>
      </c>
      <c r="C125" s="43" t="s">
        <v>1430</v>
      </c>
      <c r="D125" s="1" t="s">
        <v>691</v>
      </c>
      <c r="E125" s="25" t="s">
        <v>26</v>
      </c>
    </row>
    <row r="126" spans="1:5" ht="42.75" customHeight="1" x14ac:dyDescent="0.25">
      <c r="A126" s="246" t="s">
        <v>39</v>
      </c>
      <c r="B126" s="66" t="s">
        <v>28</v>
      </c>
      <c r="C126" s="45" t="s">
        <v>1430</v>
      </c>
      <c r="D126" s="16" t="s">
        <v>1431</v>
      </c>
      <c r="E126" s="39" t="s">
        <v>26</v>
      </c>
    </row>
    <row r="127" spans="1:5" ht="42.75" customHeight="1" x14ac:dyDescent="0.25">
      <c r="A127" s="245" t="s">
        <v>39</v>
      </c>
      <c r="B127" s="64" t="s">
        <v>28</v>
      </c>
      <c r="C127" s="43" t="s">
        <v>1430</v>
      </c>
      <c r="D127" s="1" t="s">
        <v>694</v>
      </c>
      <c r="E127" s="25" t="s">
        <v>26</v>
      </c>
    </row>
    <row r="128" spans="1:5" ht="42.75" customHeight="1" x14ac:dyDescent="0.25">
      <c r="A128" s="246" t="s">
        <v>39</v>
      </c>
      <c r="B128" s="66" t="s">
        <v>28</v>
      </c>
      <c r="C128" s="45" t="s">
        <v>1430</v>
      </c>
      <c r="D128" s="16" t="s">
        <v>1432</v>
      </c>
      <c r="E128" s="39" t="s">
        <v>26</v>
      </c>
    </row>
    <row r="129" spans="1:5" ht="42.75" customHeight="1" x14ac:dyDescent="0.25">
      <c r="A129" s="245" t="s">
        <v>39</v>
      </c>
      <c r="B129" s="64" t="s">
        <v>28</v>
      </c>
      <c r="C129" s="43" t="s">
        <v>925</v>
      </c>
      <c r="D129" s="1" t="s">
        <v>1433</v>
      </c>
      <c r="E129" s="25" t="s">
        <v>26</v>
      </c>
    </row>
    <row r="130" spans="1:5" ht="42.75" customHeight="1" x14ac:dyDescent="0.25">
      <c r="A130" s="245" t="s">
        <v>39</v>
      </c>
      <c r="B130" s="64" t="s">
        <v>28</v>
      </c>
      <c r="C130" s="43" t="s">
        <v>925</v>
      </c>
      <c r="D130" s="1" t="s">
        <v>1434</v>
      </c>
      <c r="E130" s="25" t="s">
        <v>26</v>
      </c>
    </row>
    <row r="131" spans="1:5" ht="42.75" customHeight="1" x14ac:dyDescent="0.25">
      <c r="A131" s="245" t="s">
        <v>39</v>
      </c>
      <c r="B131" s="64" t="s">
        <v>28</v>
      </c>
      <c r="C131" s="43" t="s">
        <v>925</v>
      </c>
      <c r="D131" s="1" t="s">
        <v>1435</v>
      </c>
      <c r="E131" s="25" t="s">
        <v>26</v>
      </c>
    </row>
    <row r="132" spans="1:5" ht="42.75" customHeight="1" x14ac:dyDescent="0.25">
      <c r="A132" s="245" t="s">
        <v>39</v>
      </c>
      <c r="B132" s="64" t="s">
        <v>28</v>
      </c>
      <c r="C132" s="43" t="s">
        <v>925</v>
      </c>
      <c r="D132" s="1" t="s">
        <v>1081</v>
      </c>
      <c r="E132" s="25" t="s">
        <v>26</v>
      </c>
    </row>
    <row r="133" spans="1:5" ht="42.75" customHeight="1" x14ac:dyDescent="0.25">
      <c r="A133" s="246" t="s">
        <v>39</v>
      </c>
      <c r="B133" s="66" t="s">
        <v>28</v>
      </c>
      <c r="C133" s="45" t="s">
        <v>925</v>
      </c>
      <c r="D133" s="16" t="s">
        <v>1436</v>
      </c>
      <c r="E133" s="39" t="s">
        <v>26</v>
      </c>
    </row>
    <row r="134" spans="1:5" ht="42.75" customHeight="1" x14ac:dyDescent="0.25">
      <c r="A134" s="245" t="s">
        <v>39</v>
      </c>
      <c r="B134" s="64" t="s">
        <v>28</v>
      </c>
      <c r="C134" s="43" t="s">
        <v>1437</v>
      </c>
      <c r="D134" s="1" t="s">
        <v>1438</v>
      </c>
      <c r="E134" s="25" t="s">
        <v>26</v>
      </c>
    </row>
    <row r="135" spans="1:5" ht="42.75" customHeight="1" x14ac:dyDescent="0.25">
      <c r="A135" s="245" t="s">
        <v>39</v>
      </c>
      <c r="B135" s="64" t="s">
        <v>28</v>
      </c>
      <c r="C135" s="43" t="s">
        <v>1437</v>
      </c>
      <c r="D135" s="1" t="s">
        <v>281</v>
      </c>
      <c r="E135" s="25" t="s">
        <v>26</v>
      </c>
    </row>
    <row r="136" spans="1:5" ht="42.75" customHeight="1" x14ac:dyDescent="0.25">
      <c r="A136" s="245" t="s">
        <v>39</v>
      </c>
      <c r="B136" s="64" t="s">
        <v>245</v>
      </c>
      <c r="C136" s="43" t="s">
        <v>1439</v>
      </c>
      <c r="D136" s="1" t="s">
        <v>1440</v>
      </c>
      <c r="E136" s="25" t="s">
        <v>26</v>
      </c>
    </row>
    <row r="137" spans="1:5" ht="42.75" customHeight="1" x14ac:dyDescent="0.25">
      <c r="A137" s="245" t="s">
        <v>39</v>
      </c>
      <c r="B137" s="64" t="s">
        <v>245</v>
      </c>
      <c r="C137" s="43" t="s">
        <v>1439</v>
      </c>
      <c r="D137" s="1" t="s">
        <v>949</v>
      </c>
      <c r="E137" s="25" t="s">
        <v>26</v>
      </c>
    </row>
    <row r="138" spans="1:5" ht="42.75" customHeight="1" x14ac:dyDescent="0.25">
      <c r="A138" s="245" t="s">
        <v>39</v>
      </c>
      <c r="B138" s="64" t="s">
        <v>245</v>
      </c>
      <c r="C138" s="43" t="s">
        <v>1439</v>
      </c>
      <c r="D138" s="1" t="s">
        <v>1441</v>
      </c>
      <c r="E138" s="25" t="s">
        <v>26</v>
      </c>
    </row>
    <row r="139" spans="1:5" ht="42.75" customHeight="1" x14ac:dyDescent="0.25">
      <c r="A139" s="245" t="s">
        <v>39</v>
      </c>
      <c r="B139" s="64" t="s">
        <v>245</v>
      </c>
      <c r="C139" s="43" t="s">
        <v>1442</v>
      </c>
      <c r="D139" s="1" t="s">
        <v>1443</v>
      </c>
      <c r="E139" s="25" t="s">
        <v>26</v>
      </c>
    </row>
    <row r="140" spans="1:5" ht="42.75" customHeight="1" x14ac:dyDescent="0.25">
      <c r="A140" s="245" t="s">
        <v>39</v>
      </c>
      <c r="B140" s="64" t="s">
        <v>245</v>
      </c>
      <c r="C140" s="43" t="s">
        <v>1442</v>
      </c>
      <c r="D140" s="1" t="s">
        <v>1444</v>
      </c>
      <c r="E140" s="25" t="s">
        <v>26</v>
      </c>
    </row>
    <row r="141" spans="1:5" ht="42.75" customHeight="1" x14ac:dyDescent="0.25">
      <c r="A141" s="245" t="s">
        <v>39</v>
      </c>
      <c r="B141" s="64" t="s">
        <v>245</v>
      </c>
      <c r="C141" s="43" t="s">
        <v>1442</v>
      </c>
      <c r="D141" s="1" t="s">
        <v>1445</v>
      </c>
      <c r="E141" s="25" t="s">
        <v>26</v>
      </c>
    </row>
    <row r="142" spans="1:5" ht="42.75" customHeight="1" x14ac:dyDescent="0.25">
      <c r="A142" s="245" t="s">
        <v>39</v>
      </c>
      <c r="B142" s="64" t="s">
        <v>245</v>
      </c>
      <c r="C142" s="43" t="s">
        <v>1442</v>
      </c>
      <c r="D142" s="1" t="s">
        <v>1446</v>
      </c>
      <c r="E142" s="25" t="s">
        <v>26</v>
      </c>
    </row>
    <row r="143" spans="1:5" ht="42.75" customHeight="1" x14ac:dyDescent="0.25">
      <c r="A143" s="245" t="s">
        <v>39</v>
      </c>
      <c r="B143" s="64" t="s">
        <v>245</v>
      </c>
      <c r="C143" s="43" t="s">
        <v>1442</v>
      </c>
      <c r="D143" s="1" t="s">
        <v>1447</v>
      </c>
      <c r="E143" s="25" t="s">
        <v>26</v>
      </c>
    </row>
    <row r="144" spans="1:5" ht="42.75" customHeight="1" x14ac:dyDescent="0.25">
      <c r="A144" s="245" t="s">
        <v>39</v>
      </c>
      <c r="B144" s="64" t="s">
        <v>245</v>
      </c>
      <c r="C144" s="43" t="s">
        <v>1448</v>
      </c>
      <c r="D144" s="1" t="s">
        <v>1449</v>
      </c>
      <c r="E144" s="25" t="s">
        <v>26</v>
      </c>
    </row>
    <row r="145" spans="1:5" ht="42.75" customHeight="1" x14ac:dyDescent="0.25">
      <c r="A145" s="245" t="s">
        <v>39</v>
      </c>
      <c r="B145" s="64" t="s">
        <v>245</v>
      </c>
      <c r="C145" s="43" t="s">
        <v>1450</v>
      </c>
      <c r="D145" s="1" t="s">
        <v>1451</v>
      </c>
      <c r="E145" s="25" t="s">
        <v>26</v>
      </c>
    </row>
    <row r="146" spans="1:5" ht="42.75" customHeight="1" x14ac:dyDescent="0.25">
      <c r="A146" s="245" t="s">
        <v>39</v>
      </c>
      <c r="B146" s="64" t="s">
        <v>247</v>
      </c>
      <c r="C146" s="43" t="s">
        <v>1452</v>
      </c>
      <c r="D146" s="1" t="s">
        <v>954</v>
      </c>
      <c r="E146" s="25" t="s">
        <v>26</v>
      </c>
    </row>
    <row r="147" spans="1:5" ht="42.75" customHeight="1" x14ac:dyDescent="0.25">
      <c r="A147" s="245" t="s">
        <v>39</v>
      </c>
      <c r="B147" s="64" t="s">
        <v>247</v>
      </c>
      <c r="C147" s="43" t="s">
        <v>1452</v>
      </c>
      <c r="D147" s="1" t="s">
        <v>1453</v>
      </c>
      <c r="E147" s="25" t="s">
        <v>26</v>
      </c>
    </row>
    <row r="148" spans="1:5" ht="42.75" customHeight="1" x14ac:dyDescent="0.25">
      <c r="A148" s="245" t="s">
        <v>39</v>
      </c>
      <c r="B148" s="64" t="s">
        <v>247</v>
      </c>
      <c r="C148" s="43" t="s">
        <v>1454</v>
      </c>
      <c r="D148" s="1" t="s">
        <v>1455</v>
      </c>
      <c r="E148" s="25" t="s">
        <v>26</v>
      </c>
    </row>
    <row r="149" spans="1:5" ht="42.75" customHeight="1" x14ac:dyDescent="0.25">
      <c r="A149" s="245" t="s">
        <v>39</v>
      </c>
      <c r="B149" s="64" t="s">
        <v>247</v>
      </c>
      <c r="C149" s="43" t="s">
        <v>1454</v>
      </c>
      <c r="D149" s="1" t="s">
        <v>1456</v>
      </c>
      <c r="E149" s="25" t="s">
        <v>26</v>
      </c>
    </row>
    <row r="150" spans="1:5" ht="42.75" customHeight="1" x14ac:dyDescent="0.25">
      <c r="A150" s="245" t="s">
        <v>39</v>
      </c>
      <c r="B150" s="64" t="s">
        <v>247</v>
      </c>
      <c r="C150" s="43" t="s">
        <v>1454</v>
      </c>
      <c r="D150" s="1" t="s">
        <v>1457</v>
      </c>
      <c r="E150" s="25" t="s">
        <v>26</v>
      </c>
    </row>
    <row r="151" spans="1:5" ht="42.75" customHeight="1" x14ac:dyDescent="0.25">
      <c r="A151" s="245" t="s">
        <v>39</v>
      </c>
      <c r="B151" s="64" t="s">
        <v>247</v>
      </c>
      <c r="C151" s="43" t="s">
        <v>1454</v>
      </c>
      <c r="D151" s="1" t="s">
        <v>700</v>
      </c>
      <c r="E151" s="25" t="s">
        <v>26</v>
      </c>
    </row>
    <row r="152" spans="1:5" ht="42.75" customHeight="1" x14ac:dyDescent="0.25">
      <c r="A152" s="245" t="s">
        <v>39</v>
      </c>
      <c r="B152" s="64" t="s">
        <v>247</v>
      </c>
      <c r="C152" s="43" t="s">
        <v>1454</v>
      </c>
      <c r="D152" s="1" t="s">
        <v>1458</v>
      </c>
      <c r="E152" s="25" t="s">
        <v>26</v>
      </c>
    </row>
    <row r="153" spans="1:5" ht="42.75" customHeight="1" x14ac:dyDescent="0.25">
      <c r="A153" s="246" t="s">
        <v>39</v>
      </c>
      <c r="B153" s="66" t="s">
        <v>247</v>
      </c>
      <c r="C153" s="45" t="s">
        <v>1459</v>
      </c>
      <c r="D153" s="16" t="s">
        <v>1460</v>
      </c>
      <c r="E153" s="39" t="s">
        <v>26</v>
      </c>
    </row>
    <row r="154" spans="1:5" ht="42.75" customHeight="1" x14ac:dyDescent="0.25">
      <c r="A154" s="245" t="s">
        <v>39</v>
      </c>
      <c r="B154" s="64" t="s">
        <v>37</v>
      </c>
      <c r="C154" s="43" t="s">
        <v>1461</v>
      </c>
      <c r="D154" s="1" t="s">
        <v>1462</v>
      </c>
      <c r="E154" s="25" t="s">
        <v>26</v>
      </c>
    </row>
    <row r="155" spans="1:5" ht="42.75" customHeight="1" x14ac:dyDescent="0.25">
      <c r="A155" s="245" t="s">
        <v>39</v>
      </c>
      <c r="B155" s="64" t="s">
        <v>37</v>
      </c>
      <c r="C155" s="43" t="s">
        <v>1461</v>
      </c>
      <c r="D155" s="1" t="s">
        <v>1463</v>
      </c>
      <c r="E155" s="25" t="s">
        <v>26</v>
      </c>
    </row>
    <row r="156" spans="1:5" ht="42.75" customHeight="1" x14ac:dyDescent="0.25">
      <c r="A156" s="245" t="s">
        <v>39</v>
      </c>
      <c r="B156" s="64" t="s">
        <v>37</v>
      </c>
      <c r="C156" s="43" t="s">
        <v>1461</v>
      </c>
      <c r="D156" s="1" t="s">
        <v>1464</v>
      </c>
      <c r="E156" s="25" t="s">
        <v>26</v>
      </c>
    </row>
    <row r="157" spans="1:5" ht="42.75" customHeight="1" x14ac:dyDescent="0.25">
      <c r="A157" s="245" t="s">
        <v>39</v>
      </c>
      <c r="B157" s="64" t="s">
        <v>37</v>
      </c>
      <c r="C157" s="43" t="s">
        <v>1461</v>
      </c>
      <c r="D157" s="1" t="s">
        <v>1465</v>
      </c>
      <c r="E157" s="25" t="s">
        <v>26</v>
      </c>
    </row>
    <row r="158" spans="1:5" ht="42.75" customHeight="1" x14ac:dyDescent="0.25">
      <c r="A158" s="245" t="s">
        <v>39</v>
      </c>
      <c r="B158" s="64" t="s">
        <v>37</v>
      </c>
      <c r="C158" s="43" t="s">
        <v>1461</v>
      </c>
      <c r="D158" s="1" t="s">
        <v>1466</v>
      </c>
      <c r="E158" s="25" t="s">
        <v>26</v>
      </c>
    </row>
    <row r="159" spans="1:5" ht="42.75" customHeight="1" x14ac:dyDescent="0.25">
      <c r="A159" s="245" t="s">
        <v>39</v>
      </c>
      <c r="B159" s="64" t="s">
        <v>37</v>
      </c>
      <c r="C159" s="43" t="s">
        <v>1461</v>
      </c>
      <c r="D159" s="1" t="s">
        <v>1467</v>
      </c>
      <c r="E159" s="25" t="s">
        <v>26</v>
      </c>
    </row>
    <row r="160" spans="1:5" ht="48.75" customHeight="1" x14ac:dyDescent="0.25">
      <c r="A160" s="245" t="s">
        <v>39</v>
      </c>
      <c r="B160" s="64" t="s">
        <v>37</v>
      </c>
      <c r="C160" s="43" t="s">
        <v>1461</v>
      </c>
      <c r="D160" s="1" t="s">
        <v>1468</v>
      </c>
      <c r="E160" s="25" t="s">
        <v>26</v>
      </c>
    </row>
    <row r="161" spans="1:5" ht="42.75" customHeight="1" x14ac:dyDescent="0.25">
      <c r="A161" s="245" t="s">
        <v>39</v>
      </c>
      <c r="B161" s="64" t="s">
        <v>37</v>
      </c>
      <c r="C161" s="43" t="s">
        <v>1469</v>
      </c>
      <c r="D161" s="1" t="s">
        <v>1470</v>
      </c>
      <c r="E161" s="25" t="s">
        <v>26</v>
      </c>
    </row>
    <row r="162" spans="1:5" ht="42.75" customHeight="1" x14ac:dyDescent="0.25">
      <c r="A162" s="245" t="s">
        <v>39</v>
      </c>
      <c r="B162" s="64" t="s">
        <v>37</v>
      </c>
      <c r="C162" s="43" t="s">
        <v>1471</v>
      </c>
      <c r="D162" s="1" t="s">
        <v>952</v>
      </c>
      <c r="E162" s="25" t="s">
        <v>26</v>
      </c>
    </row>
    <row r="163" spans="1:5" ht="42.75" customHeight="1" x14ac:dyDescent="0.25">
      <c r="A163" s="245" t="s">
        <v>39</v>
      </c>
      <c r="B163" s="64" t="s">
        <v>37</v>
      </c>
      <c r="C163" s="43" t="s">
        <v>1471</v>
      </c>
      <c r="D163" s="1" t="s">
        <v>1472</v>
      </c>
      <c r="E163" s="25" t="s">
        <v>26</v>
      </c>
    </row>
    <row r="164" spans="1:5" ht="42.75" customHeight="1" x14ac:dyDescent="0.25">
      <c r="A164" s="245" t="s">
        <v>39</v>
      </c>
      <c r="B164" s="64" t="s">
        <v>37</v>
      </c>
      <c r="C164" s="43" t="s">
        <v>1473</v>
      </c>
      <c r="D164" s="1" t="s">
        <v>1474</v>
      </c>
      <c r="E164" s="25" t="s">
        <v>26</v>
      </c>
    </row>
    <row r="165" spans="1:5" ht="42.75" customHeight="1" x14ac:dyDescent="0.25">
      <c r="A165" s="245" t="s">
        <v>39</v>
      </c>
      <c r="B165" s="64" t="s">
        <v>37</v>
      </c>
      <c r="C165" s="43" t="s">
        <v>1473</v>
      </c>
      <c r="D165" s="1" t="s">
        <v>1475</v>
      </c>
      <c r="E165" s="25" t="s">
        <v>26</v>
      </c>
    </row>
    <row r="166" spans="1:5" ht="42.75" customHeight="1" x14ac:dyDescent="0.25">
      <c r="A166" s="245" t="s">
        <v>39</v>
      </c>
      <c r="B166" s="64" t="s">
        <v>37</v>
      </c>
      <c r="C166" s="43" t="s">
        <v>1473</v>
      </c>
      <c r="D166" s="1" t="s">
        <v>136</v>
      </c>
      <c r="E166" s="25" t="s">
        <v>26</v>
      </c>
    </row>
    <row r="167" spans="1:5" ht="42.75" customHeight="1" x14ac:dyDescent="0.25">
      <c r="A167" s="245" t="s">
        <v>39</v>
      </c>
      <c r="B167" s="64" t="s">
        <v>37</v>
      </c>
      <c r="C167" s="43" t="s">
        <v>1473</v>
      </c>
      <c r="D167" s="1" t="s">
        <v>1476</v>
      </c>
      <c r="E167" s="25" t="s">
        <v>26</v>
      </c>
    </row>
    <row r="168" spans="1:5" ht="42.75" customHeight="1" x14ac:dyDescent="0.25">
      <c r="A168" s="245" t="s">
        <v>39</v>
      </c>
      <c r="B168" s="64" t="s">
        <v>37</v>
      </c>
      <c r="C168" s="43" t="s">
        <v>1473</v>
      </c>
      <c r="D168" s="1" t="s">
        <v>1477</v>
      </c>
      <c r="E168" s="25" t="s">
        <v>26</v>
      </c>
    </row>
    <row r="169" spans="1:5" ht="42.75" customHeight="1" x14ac:dyDescent="0.25">
      <c r="A169" s="245" t="s">
        <v>39</v>
      </c>
      <c r="B169" s="64" t="s">
        <v>37</v>
      </c>
      <c r="C169" s="43" t="s">
        <v>1473</v>
      </c>
      <c r="D169" s="1" t="s">
        <v>1478</v>
      </c>
      <c r="E169" s="25" t="s">
        <v>26</v>
      </c>
    </row>
    <row r="170" spans="1:5" ht="42.75" customHeight="1" x14ac:dyDescent="0.25">
      <c r="A170" s="245" t="s">
        <v>39</v>
      </c>
      <c r="B170" s="64" t="s">
        <v>37</v>
      </c>
      <c r="C170" s="43" t="s">
        <v>1473</v>
      </c>
      <c r="D170" s="1" t="s">
        <v>1479</v>
      </c>
      <c r="E170" s="25" t="s">
        <v>26</v>
      </c>
    </row>
    <row r="171" spans="1:5" ht="47.25" customHeight="1" x14ac:dyDescent="0.25">
      <c r="A171" s="245" t="s">
        <v>39</v>
      </c>
      <c r="B171" s="64" t="s">
        <v>37</v>
      </c>
      <c r="C171" s="43" t="s">
        <v>1473</v>
      </c>
      <c r="D171" s="1" t="s">
        <v>1480</v>
      </c>
      <c r="E171" s="25" t="s">
        <v>26</v>
      </c>
    </row>
    <row r="172" spans="1:5" ht="42.75" customHeight="1" x14ac:dyDescent="0.25">
      <c r="A172" s="245" t="s">
        <v>39</v>
      </c>
      <c r="B172" s="64" t="s">
        <v>37</v>
      </c>
      <c r="C172" s="43" t="s">
        <v>1481</v>
      </c>
      <c r="D172" s="1" t="s">
        <v>1482</v>
      </c>
      <c r="E172" s="25" t="s">
        <v>26</v>
      </c>
    </row>
    <row r="173" spans="1:5" ht="42.75" customHeight="1" x14ac:dyDescent="0.25">
      <c r="A173" s="245" t="s">
        <v>39</v>
      </c>
      <c r="B173" s="64" t="s">
        <v>37</v>
      </c>
      <c r="C173" s="43" t="s">
        <v>1481</v>
      </c>
      <c r="D173" s="1" t="s">
        <v>1483</v>
      </c>
      <c r="E173" s="25" t="s">
        <v>26</v>
      </c>
    </row>
    <row r="174" spans="1:5" ht="42.75" customHeight="1" x14ac:dyDescent="0.25">
      <c r="A174" s="245" t="s">
        <v>39</v>
      </c>
      <c r="B174" s="64" t="s">
        <v>37</v>
      </c>
      <c r="C174" s="43" t="s">
        <v>1481</v>
      </c>
      <c r="D174" s="1" t="s">
        <v>1484</v>
      </c>
      <c r="E174" s="25" t="s">
        <v>26</v>
      </c>
    </row>
    <row r="175" spans="1:5" ht="42.75" customHeight="1" x14ac:dyDescent="0.25">
      <c r="A175" s="248" t="s">
        <v>39</v>
      </c>
      <c r="B175" s="164" t="s">
        <v>37</v>
      </c>
      <c r="C175" s="156" t="s">
        <v>1485</v>
      </c>
      <c r="D175" s="157" t="s">
        <v>1486</v>
      </c>
      <c r="E175" s="155" t="s">
        <v>26</v>
      </c>
    </row>
    <row r="176" spans="1:5" ht="42.75" customHeight="1" x14ac:dyDescent="0.25">
      <c r="A176" s="245" t="s">
        <v>39</v>
      </c>
      <c r="B176" s="64" t="s">
        <v>37</v>
      </c>
      <c r="C176" s="43" t="s">
        <v>1485</v>
      </c>
      <c r="D176" s="1" t="s">
        <v>1487</v>
      </c>
      <c r="E176" s="25" t="s">
        <v>26</v>
      </c>
    </row>
    <row r="177" spans="1:5" ht="42.75" customHeight="1" x14ac:dyDescent="0.25">
      <c r="A177" s="246" t="s">
        <v>39</v>
      </c>
      <c r="B177" s="66" t="s">
        <v>37</v>
      </c>
      <c r="C177" s="45" t="s">
        <v>1488</v>
      </c>
      <c r="D177" s="16" t="s">
        <v>146</v>
      </c>
      <c r="E177" s="39" t="s">
        <v>26</v>
      </c>
    </row>
    <row r="178" spans="1:5" ht="42.75" customHeight="1" x14ac:dyDescent="0.25">
      <c r="A178" s="245" t="s">
        <v>39</v>
      </c>
      <c r="B178" s="64" t="s">
        <v>37</v>
      </c>
      <c r="C178" s="43" t="s">
        <v>1488</v>
      </c>
      <c r="D178" s="1" t="s">
        <v>1489</v>
      </c>
      <c r="E178" s="25" t="s">
        <v>26</v>
      </c>
    </row>
    <row r="179" spans="1:5" ht="42.75" customHeight="1" x14ac:dyDescent="0.25">
      <c r="A179" s="245" t="s">
        <v>39</v>
      </c>
      <c r="B179" s="64" t="s">
        <v>37</v>
      </c>
      <c r="C179" s="43" t="s">
        <v>1488</v>
      </c>
      <c r="D179" s="1" t="s">
        <v>1168</v>
      </c>
      <c r="E179" s="25" t="s">
        <v>26</v>
      </c>
    </row>
    <row r="180" spans="1:5" ht="78" customHeight="1" x14ac:dyDescent="0.25">
      <c r="A180" s="245" t="s">
        <v>39</v>
      </c>
      <c r="B180" s="64" t="s">
        <v>37</v>
      </c>
      <c r="C180" s="43" t="s">
        <v>1490</v>
      </c>
      <c r="D180" s="1" t="s">
        <v>1491</v>
      </c>
      <c r="E180" s="25" t="s">
        <v>26</v>
      </c>
    </row>
    <row r="181" spans="1:5" ht="42.75" customHeight="1" x14ac:dyDescent="0.25">
      <c r="A181" s="245" t="s">
        <v>39</v>
      </c>
      <c r="B181" s="64" t="s">
        <v>37</v>
      </c>
      <c r="C181" s="43" t="s">
        <v>1490</v>
      </c>
      <c r="D181" s="1" t="s">
        <v>1492</v>
      </c>
      <c r="E181" s="25" t="s">
        <v>26</v>
      </c>
    </row>
    <row r="182" spans="1:5" ht="42.75" customHeight="1" x14ac:dyDescent="0.25">
      <c r="A182" s="245" t="s">
        <v>39</v>
      </c>
      <c r="B182" s="64" t="s">
        <v>37</v>
      </c>
      <c r="C182" s="43" t="s">
        <v>1490</v>
      </c>
      <c r="D182" s="1" t="s">
        <v>1493</v>
      </c>
      <c r="E182" s="25" t="s">
        <v>26</v>
      </c>
    </row>
    <row r="183" spans="1:5" ht="42.75" customHeight="1" x14ac:dyDescent="0.25">
      <c r="A183" s="245" t="s">
        <v>39</v>
      </c>
      <c r="B183" s="64" t="s">
        <v>37</v>
      </c>
      <c r="C183" s="43" t="s">
        <v>1490</v>
      </c>
      <c r="D183" s="1" t="s">
        <v>1494</v>
      </c>
      <c r="E183" s="25" t="s">
        <v>26</v>
      </c>
    </row>
    <row r="184" spans="1:5" ht="42.75" customHeight="1" x14ac:dyDescent="0.25">
      <c r="A184" s="245" t="s">
        <v>39</v>
      </c>
      <c r="B184" s="64" t="s">
        <v>37</v>
      </c>
      <c r="C184" s="43" t="s">
        <v>1490</v>
      </c>
      <c r="D184" s="1" t="s">
        <v>1495</v>
      </c>
      <c r="E184" s="25" t="s">
        <v>26</v>
      </c>
    </row>
    <row r="185" spans="1:5" ht="42.75" customHeight="1" x14ac:dyDescent="0.25">
      <c r="A185" s="245" t="s">
        <v>39</v>
      </c>
      <c r="B185" s="64" t="s">
        <v>37</v>
      </c>
      <c r="C185" s="43" t="s">
        <v>1490</v>
      </c>
      <c r="D185" s="1" t="s">
        <v>1496</v>
      </c>
      <c r="E185" s="25" t="s">
        <v>26</v>
      </c>
    </row>
    <row r="186" spans="1:5" ht="42.75" customHeight="1" x14ac:dyDescent="0.25">
      <c r="A186" s="245" t="s">
        <v>39</v>
      </c>
      <c r="B186" s="64" t="s">
        <v>37</v>
      </c>
      <c r="C186" s="43" t="s">
        <v>1490</v>
      </c>
      <c r="D186" s="1" t="s">
        <v>1497</v>
      </c>
      <c r="E186" s="25" t="s">
        <v>26</v>
      </c>
    </row>
    <row r="187" spans="1:5" ht="42.75" customHeight="1" x14ac:dyDescent="0.25">
      <c r="A187" s="245" t="s">
        <v>39</v>
      </c>
      <c r="B187" s="64" t="s">
        <v>30</v>
      </c>
      <c r="C187" s="43" t="s">
        <v>1498</v>
      </c>
      <c r="D187" s="1" t="s">
        <v>1499</v>
      </c>
      <c r="E187" s="25" t="s">
        <v>26</v>
      </c>
    </row>
    <row r="188" spans="1:5" ht="42.75" customHeight="1" x14ac:dyDescent="0.25">
      <c r="A188" s="245" t="s">
        <v>39</v>
      </c>
      <c r="B188" s="64" t="s">
        <v>30</v>
      </c>
      <c r="C188" s="43" t="s">
        <v>1498</v>
      </c>
      <c r="D188" s="1" t="s">
        <v>1500</v>
      </c>
      <c r="E188" s="25" t="s">
        <v>22</v>
      </c>
    </row>
    <row r="189" spans="1:5" ht="42.75" customHeight="1" x14ac:dyDescent="0.25">
      <c r="A189" s="245" t="s">
        <v>39</v>
      </c>
      <c r="B189" s="64" t="s">
        <v>30</v>
      </c>
      <c r="C189" s="43" t="s">
        <v>1501</v>
      </c>
      <c r="D189" s="1" t="s">
        <v>1502</v>
      </c>
      <c r="E189" s="25" t="s">
        <v>22</v>
      </c>
    </row>
    <row r="190" spans="1:5" ht="42.75" customHeight="1" x14ac:dyDescent="0.25">
      <c r="A190" s="245" t="s">
        <v>39</v>
      </c>
      <c r="B190" s="64" t="s">
        <v>30</v>
      </c>
      <c r="C190" s="43" t="s">
        <v>1503</v>
      </c>
      <c r="D190" s="1" t="s">
        <v>1504</v>
      </c>
      <c r="E190" s="25" t="s">
        <v>26</v>
      </c>
    </row>
    <row r="191" spans="1:5" ht="42.75" customHeight="1" x14ac:dyDescent="0.25">
      <c r="A191" s="246" t="s">
        <v>39</v>
      </c>
      <c r="B191" s="66" t="s">
        <v>30</v>
      </c>
      <c r="C191" s="45" t="s">
        <v>1503</v>
      </c>
      <c r="D191" s="16" t="s">
        <v>1505</v>
      </c>
      <c r="E191" s="39" t="s">
        <v>31</v>
      </c>
    </row>
    <row r="192" spans="1:5" ht="42.75" customHeight="1" x14ac:dyDescent="0.25">
      <c r="A192" s="245" t="s">
        <v>39</v>
      </c>
      <c r="B192" s="64" t="s">
        <v>30</v>
      </c>
      <c r="C192" s="45" t="s">
        <v>1503</v>
      </c>
      <c r="D192" s="16" t="s">
        <v>1506</v>
      </c>
      <c r="E192" s="39" t="s">
        <v>22</v>
      </c>
    </row>
    <row r="193" spans="1:5" ht="42.75" customHeight="1" x14ac:dyDescent="0.25">
      <c r="A193" s="247" t="s">
        <v>39</v>
      </c>
      <c r="B193" s="64" t="s">
        <v>30</v>
      </c>
      <c r="C193" s="43" t="s">
        <v>1503</v>
      </c>
      <c r="D193" s="1" t="s">
        <v>1507</v>
      </c>
      <c r="E193" s="25" t="s">
        <v>22</v>
      </c>
    </row>
    <row r="194" spans="1:5" ht="42.75" customHeight="1" x14ac:dyDescent="0.25">
      <c r="A194" s="247" t="s">
        <v>39</v>
      </c>
      <c r="B194" s="64" t="s">
        <v>30</v>
      </c>
      <c r="C194" s="43" t="s">
        <v>1503</v>
      </c>
      <c r="D194" s="1" t="s">
        <v>1508</v>
      </c>
      <c r="E194" s="25" t="s">
        <v>26</v>
      </c>
    </row>
    <row r="195" spans="1:5" ht="42.75" customHeight="1" x14ac:dyDescent="0.25">
      <c r="A195" s="245" t="s">
        <v>39</v>
      </c>
      <c r="B195" s="64" t="s">
        <v>30</v>
      </c>
      <c r="C195" s="43" t="s">
        <v>1509</v>
      </c>
      <c r="D195" s="1" t="s">
        <v>1510</v>
      </c>
      <c r="E195" s="25" t="s">
        <v>22</v>
      </c>
    </row>
    <row r="196" spans="1:5" ht="42.75" customHeight="1" x14ac:dyDescent="0.25">
      <c r="A196" s="245" t="s">
        <v>39</v>
      </c>
      <c r="B196" s="64" t="s">
        <v>30</v>
      </c>
      <c r="C196" s="43" t="s">
        <v>1511</v>
      </c>
      <c r="D196" s="1" t="s">
        <v>1512</v>
      </c>
      <c r="E196" s="25" t="s">
        <v>26</v>
      </c>
    </row>
    <row r="197" spans="1:5" ht="42.75" customHeight="1" thickBot="1" x14ac:dyDescent="0.3">
      <c r="A197" s="249" t="s">
        <v>39</v>
      </c>
      <c r="B197" s="65" t="s">
        <v>30</v>
      </c>
      <c r="C197" s="44" t="s">
        <v>1513</v>
      </c>
      <c r="D197" s="27" t="s">
        <v>1514</v>
      </c>
      <c r="E197" s="32" t="s">
        <v>284</v>
      </c>
    </row>
  </sheetData>
  <autoFilter ref="A1:E197" xr:uid="{00000000-0009-0000-0000-000000000000}"/>
  <pageMargins left="0.7" right="0.7" top="0.75" bottom="0.75" header="0.3" footer="0.3"/>
  <pageSetup paperSize="8" scale="44" fitToHeight="4" orientation="portrait" horizontalDpi="300" verticalDpi="0" r:id="rId1"/>
  <headerFooter>
    <oddHeader>&amp;C&amp;A</oddHeader>
    <oddFooter>&amp;R&amp;F</oddFooter>
  </headerFooter>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N49"/>
  <sheetViews>
    <sheetView zoomScale="80" zoomScaleNormal="80" workbookViewId="0">
      <selection activeCell="B33" sqref="B33"/>
    </sheetView>
  </sheetViews>
  <sheetFormatPr defaultRowHeight="15" x14ac:dyDescent="0.25"/>
  <cols>
    <col min="1" max="1" width="17.85546875" style="6" bestFit="1" customWidth="1"/>
    <col min="2" max="2" width="9.140625" style="6"/>
    <col min="3" max="9" width="20.140625" customWidth="1"/>
    <col min="10" max="10" width="20.85546875" customWidth="1"/>
    <col min="11" max="13" width="20.140625" customWidth="1"/>
    <col min="14" max="14" width="15.42578125" customWidth="1"/>
  </cols>
  <sheetData>
    <row r="1" spans="1:14" x14ac:dyDescent="0.25">
      <c r="A1" s="7"/>
      <c r="B1" s="7"/>
      <c r="C1" s="7" t="s">
        <v>57</v>
      </c>
      <c r="D1" s="7" t="s">
        <v>58</v>
      </c>
      <c r="E1" s="7" t="s">
        <v>59</v>
      </c>
      <c r="F1" s="7" t="s">
        <v>60</v>
      </c>
      <c r="G1" s="7" t="s">
        <v>61</v>
      </c>
      <c r="H1" s="7" t="s">
        <v>62</v>
      </c>
      <c r="I1" s="7" t="s">
        <v>63</v>
      </c>
      <c r="J1" s="7" t="s">
        <v>64</v>
      </c>
      <c r="K1" s="7" t="s">
        <v>65</v>
      </c>
      <c r="L1" s="7" t="s">
        <v>66</v>
      </c>
      <c r="M1" s="7" t="s">
        <v>67</v>
      </c>
    </row>
    <row r="2" spans="1:14" x14ac:dyDescent="0.25">
      <c r="A2" s="7" t="s">
        <v>0</v>
      </c>
      <c r="B2" s="7" t="s">
        <v>68</v>
      </c>
      <c r="C2" s="7" t="s">
        <v>69</v>
      </c>
      <c r="D2" s="7" t="s">
        <v>70</v>
      </c>
      <c r="E2" s="7" t="s">
        <v>71</v>
      </c>
      <c r="F2" s="7" t="s">
        <v>72</v>
      </c>
      <c r="G2" s="7" t="s">
        <v>73</v>
      </c>
      <c r="H2" s="7" t="s">
        <v>74</v>
      </c>
      <c r="I2" s="7" t="s">
        <v>75</v>
      </c>
      <c r="J2" s="7" t="s">
        <v>76</v>
      </c>
      <c r="K2" s="7" t="s">
        <v>77</v>
      </c>
      <c r="L2" s="7" t="s">
        <v>78</v>
      </c>
      <c r="M2" s="7" t="s">
        <v>79</v>
      </c>
      <c r="N2" s="7" t="s">
        <v>80</v>
      </c>
    </row>
    <row r="3" spans="1:14" x14ac:dyDescent="0.25">
      <c r="A3" s="7" t="s">
        <v>81</v>
      </c>
      <c r="B3" s="7">
        <v>1799</v>
      </c>
      <c r="C3" s="8"/>
      <c r="D3" s="8"/>
      <c r="E3" s="8"/>
      <c r="F3" s="8">
        <v>46110706.189999998</v>
      </c>
      <c r="G3" s="8"/>
      <c r="H3" s="8"/>
      <c r="I3" s="8"/>
      <c r="J3" s="8"/>
      <c r="K3" s="8"/>
      <c r="L3" s="8"/>
      <c r="M3" s="8"/>
      <c r="N3" s="9">
        <f t="shared" ref="N3:N40" si="0">SUM(C3:M3)</f>
        <v>46110706.189999998</v>
      </c>
    </row>
    <row r="4" spans="1:14" x14ac:dyDescent="0.25">
      <c r="A4" s="7" t="s">
        <v>82</v>
      </c>
      <c r="B4" s="7">
        <v>1216</v>
      </c>
      <c r="C4" s="8">
        <v>794542.02</v>
      </c>
      <c r="D4" s="8"/>
      <c r="E4" s="8"/>
      <c r="F4" s="8"/>
      <c r="G4" s="8">
        <v>7390342.6799999997</v>
      </c>
      <c r="H4" s="8">
        <v>4218423.22</v>
      </c>
      <c r="I4" s="8"/>
      <c r="J4" s="8"/>
      <c r="K4" s="8"/>
      <c r="L4" s="8"/>
      <c r="M4" s="8"/>
      <c r="N4" s="9">
        <f t="shared" si="0"/>
        <v>12403307.919999998</v>
      </c>
    </row>
    <row r="5" spans="1:14" x14ac:dyDescent="0.25">
      <c r="A5" s="7" t="s">
        <v>82</v>
      </c>
      <c r="B5" s="7">
        <v>1799</v>
      </c>
      <c r="C5" s="8"/>
      <c r="D5" s="8"/>
      <c r="E5" s="8"/>
      <c r="F5" s="8">
        <v>31143995.16</v>
      </c>
      <c r="G5" s="8"/>
      <c r="H5" s="8"/>
      <c r="I5" s="8"/>
      <c r="J5" s="8"/>
      <c r="K5" s="8"/>
      <c r="L5" s="8"/>
      <c r="M5" s="8"/>
      <c r="N5" s="9">
        <f t="shared" si="0"/>
        <v>31143995.16</v>
      </c>
    </row>
    <row r="6" spans="1:14" x14ac:dyDescent="0.25">
      <c r="A6" s="7" t="s">
        <v>83</v>
      </c>
      <c r="B6" s="7">
        <v>1106</v>
      </c>
      <c r="C6" s="8">
        <v>5390268.6899999995</v>
      </c>
      <c r="D6" s="8"/>
      <c r="E6" s="8">
        <v>87.07</v>
      </c>
      <c r="F6" s="8"/>
      <c r="G6" s="8">
        <v>11254995.27</v>
      </c>
      <c r="H6" s="8">
        <v>17990293.510000002</v>
      </c>
      <c r="I6" s="8"/>
      <c r="J6" s="8"/>
      <c r="K6" s="8"/>
      <c r="L6" s="8">
        <v>5419.15</v>
      </c>
      <c r="M6" s="8">
        <v>6238056.6799999997</v>
      </c>
      <c r="N6" s="9">
        <f t="shared" si="0"/>
        <v>40879120.369999997</v>
      </c>
    </row>
    <row r="7" spans="1:14" x14ac:dyDescent="0.25">
      <c r="A7" s="7" t="s">
        <v>84</v>
      </c>
      <c r="B7" s="7">
        <v>1107</v>
      </c>
      <c r="C7" s="8"/>
      <c r="D7" s="8"/>
      <c r="E7" s="8">
        <v>194.81</v>
      </c>
      <c r="F7" s="8">
        <v>20053131.25</v>
      </c>
      <c r="G7" s="8"/>
      <c r="H7" s="8">
        <v>276.56</v>
      </c>
      <c r="I7" s="8"/>
      <c r="J7" s="8"/>
      <c r="K7" s="8"/>
      <c r="L7" s="8">
        <v>651.76</v>
      </c>
      <c r="M7" s="8"/>
      <c r="N7" s="9">
        <f t="shared" si="0"/>
        <v>20054254.379999999</v>
      </c>
    </row>
    <row r="8" spans="1:14" x14ac:dyDescent="0.25">
      <c r="A8" s="7" t="s">
        <v>84</v>
      </c>
      <c r="B8" s="7">
        <v>1799</v>
      </c>
      <c r="C8" s="8"/>
      <c r="D8" s="8"/>
      <c r="E8" s="8"/>
      <c r="F8" s="8">
        <v>19209734.809999999</v>
      </c>
      <c r="G8" s="8"/>
      <c r="H8" s="8"/>
      <c r="I8" s="8"/>
      <c r="J8" s="8"/>
      <c r="K8" s="8"/>
      <c r="L8" s="8"/>
      <c r="M8" s="8"/>
      <c r="N8" s="9">
        <f t="shared" si="0"/>
        <v>19209734.809999999</v>
      </c>
    </row>
    <row r="9" spans="1:14" x14ac:dyDescent="0.25">
      <c r="A9" s="7" t="s">
        <v>85</v>
      </c>
      <c r="B9" s="7">
        <v>1252</v>
      </c>
      <c r="C9" s="8"/>
      <c r="D9" s="8"/>
      <c r="E9" s="8"/>
      <c r="F9" s="8"/>
      <c r="G9" s="8">
        <v>21843124.75</v>
      </c>
      <c r="H9" s="8"/>
      <c r="I9" s="8"/>
      <c r="J9" s="8"/>
      <c r="K9" s="8"/>
      <c r="L9" s="8"/>
      <c r="M9" s="8"/>
      <c r="N9" s="9">
        <f t="shared" si="0"/>
        <v>21843124.75</v>
      </c>
    </row>
    <row r="10" spans="1:14" x14ac:dyDescent="0.25">
      <c r="A10" s="7" t="s">
        <v>87</v>
      </c>
      <c r="B10" s="7">
        <v>2101</v>
      </c>
      <c r="C10" s="8"/>
      <c r="D10" s="8"/>
      <c r="E10" s="8">
        <v>599313.25</v>
      </c>
      <c r="F10" s="8"/>
      <c r="G10" s="8">
        <v>9681837.6300000008</v>
      </c>
      <c r="H10" s="8">
        <v>53311.839999999997</v>
      </c>
      <c r="I10" s="8"/>
      <c r="J10" s="8">
        <v>614767.67000000004</v>
      </c>
      <c r="K10" s="8"/>
      <c r="L10" s="8">
        <v>9598240.3399999999</v>
      </c>
      <c r="M10" s="8"/>
      <c r="N10" s="9">
        <f t="shared" si="0"/>
        <v>20547470.73</v>
      </c>
    </row>
    <row r="11" spans="1:14" x14ac:dyDescent="0.25">
      <c r="A11" s="7" t="s">
        <v>86</v>
      </c>
      <c r="B11" s="7">
        <v>1118</v>
      </c>
      <c r="C11" s="8">
        <v>14330370.26</v>
      </c>
      <c r="D11" s="8">
        <v>205006.85</v>
      </c>
      <c r="E11" s="8"/>
      <c r="F11" s="8"/>
      <c r="G11" s="8">
        <v>137836.59</v>
      </c>
      <c r="H11" s="8">
        <v>868814.63</v>
      </c>
      <c r="I11" s="8">
        <v>146589.07</v>
      </c>
      <c r="J11" s="8"/>
      <c r="K11" s="8"/>
      <c r="L11" s="8"/>
      <c r="M11" s="8"/>
      <c r="N11" s="9">
        <f t="shared" si="0"/>
        <v>15688617.4</v>
      </c>
    </row>
    <row r="12" spans="1:14" x14ac:dyDescent="0.25">
      <c r="A12" s="7" t="s">
        <v>91</v>
      </c>
      <c r="B12" s="7">
        <v>1114</v>
      </c>
      <c r="C12" s="8">
        <v>2020.29</v>
      </c>
      <c r="D12" s="8"/>
      <c r="E12" s="8"/>
      <c r="F12" s="8"/>
      <c r="G12" s="8"/>
      <c r="H12" s="8"/>
      <c r="I12" s="8"/>
      <c r="J12" s="8"/>
      <c r="K12" s="8"/>
      <c r="L12" s="8"/>
      <c r="M12" s="8">
        <v>3320338.48</v>
      </c>
      <c r="N12" s="9">
        <f t="shared" si="0"/>
        <v>3322358.77</v>
      </c>
    </row>
    <row r="13" spans="1:14" x14ac:dyDescent="0.25">
      <c r="A13" s="7" t="s">
        <v>91</v>
      </c>
      <c r="B13" s="7">
        <v>1303</v>
      </c>
      <c r="C13" s="8"/>
      <c r="D13" s="8">
        <v>3246575.43</v>
      </c>
      <c r="E13" s="8"/>
      <c r="F13" s="8"/>
      <c r="G13" s="8">
        <v>2428392.8199999998</v>
      </c>
      <c r="H13" s="8"/>
      <c r="I13" s="8"/>
      <c r="J13" s="8"/>
      <c r="K13" s="8"/>
      <c r="L13" s="8"/>
      <c r="M13" s="8">
        <v>3851041.64</v>
      </c>
      <c r="N13" s="9">
        <f t="shared" si="0"/>
        <v>9526009.8900000006</v>
      </c>
    </row>
    <row r="14" spans="1:14" x14ac:dyDescent="0.25">
      <c r="A14" s="7" t="s">
        <v>89</v>
      </c>
      <c r="B14" s="7">
        <v>1100</v>
      </c>
      <c r="C14" s="8">
        <v>4075269.15</v>
      </c>
      <c r="D14" s="8"/>
      <c r="E14" s="8">
        <v>194153.56</v>
      </c>
      <c r="F14" s="8"/>
      <c r="G14" s="8">
        <v>7502034.4500000002</v>
      </c>
      <c r="H14" s="8"/>
      <c r="I14" s="8"/>
      <c r="J14" s="8"/>
      <c r="K14" s="8"/>
      <c r="L14" s="8"/>
      <c r="M14" s="8"/>
      <c r="N14" s="9">
        <f t="shared" si="0"/>
        <v>11771457.16</v>
      </c>
    </row>
    <row r="15" spans="1:14" x14ac:dyDescent="0.25">
      <c r="A15" s="7" t="s">
        <v>88</v>
      </c>
      <c r="B15" s="7">
        <v>2180</v>
      </c>
      <c r="C15" s="8">
        <v>1720537.84</v>
      </c>
      <c r="D15" s="8"/>
      <c r="E15" s="8"/>
      <c r="F15" s="8"/>
      <c r="G15" s="8">
        <v>7714782.3700000001</v>
      </c>
      <c r="H15" s="8">
        <v>10151.56</v>
      </c>
      <c r="I15" s="8"/>
      <c r="J15" s="8"/>
      <c r="K15" s="8"/>
      <c r="L15" s="8"/>
      <c r="M15" s="8"/>
      <c r="N15" s="9">
        <f t="shared" si="0"/>
        <v>9445471.7700000014</v>
      </c>
    </row>
    <row r="16" spans="1:14" x14ac:dyDescent="0.25">
      <c r="A16" s="7" t="s">
        <v>92</v>
      </c>
      <c r="B16" s="7">
        <v>1172</v>
      </c>
      <c r="C16" s="8"/>
      <c r="D16" s="8"/>
      <c r="E16" s="8"/>
      <c r="F16" s="8"/>
      <c r="G16" s="8">
        <v>8929933.6799999997</v>
      </c>
      <c r="H16" s="8"/>
      <c r="I16" s="8"/>
      <c r="J16" s="8"/>
      <c r="K16" s="8"/>
      <c r="L16" s="8"/>
      <c r="M16" s="8"/>
      <c r="N16" s="9">
        <f t="shared" si="0"/>
        <v>8929933.6799999997</v>
      </c>
    </row>
    <row r="17" spans="1:14" x14ac:dyDescent="0.25">
      <c r="A17" s="7" t="s">
        <v>93</v>
      </c>
      <c r="B17" s="7">
        <v>1176</v>
      </c>
      <c r="C17" s="8"/>
      <c r="D17" s="8"/>
      <c r="E17" s="8"/>
      <c r="F17" s="8"/>
      <c r="G17" s="8">
        <v>8090525.1699999999</v>
      </c>
      <c r="H17" s="8"/>
      <c r="I17" s="8"/>
      <c r="J17" s="8"/>
      <c r="K17" s="8"/>
      <c r="L17" s="8"/>
      <c r="M17" s="8"/>
      <c r="N17" s="9">
        <f t="shared" si="0"/>
        <v>8090525.1699999999</v>
      </c>
    </row>
    <row r="18" spans="1:14" x14ac:dyDescent="0.25">
      <c r="A18" s="7" t="s">
        <v>90</v>
      </c>
      <c r="B18" s="7">
        <v>1229</v>
      </c>
      <c r="C18" s="8"/>
      <c r="D18" s="8"/>
      <c r="E18" s="8"/>
      <c r="F18" s="8"/>
      <c r="G18" s="8">
        <v>5207849.4000000004</v>
      </c>
      <c r="H18" s="8"/>
      <c r="I18" s="8"/>
      <c r="J18" s="8"/>
      <c r="K18" s="8"/>
      <c r="L18" s="8"/>
      <c r="M18" s="8"/>
      <c r="N18" s="9">
        <f t="shared" si="0"/>
        <v>5207849.4000000004</v>
      </c>
    </row>
    <row r="19" spans="1:14" x14ac:dyDescent="0.25">
      <c r="A19" s="7" t="s">
        <v>90</v>
      </c>
      <c r="B19" s="7">
        <v>1799</v>
      </c>
      <c r="C19" s="8"/>
      <c r="D19" s="8"/>
      <c r="E19" s="8"/>
      <c r="F19" s="8"/>
      <c r="G19" s="8">
        <v>1000</v>
      </c>
      <c r="H19" s="8">
        <v>2390794.15</v>
      </c>
      <c r="I19" s="8"/>
      <c r="J19" s="8"/>
      <c r="K19" s="8"/>
      <c r="L19" s="8"/>
      <c r="M19" s="8"/>
      <c r="N19" s="9">
        <f t="shared" si="0"/>
        <v>2391794.15</v>
      </c>
    </row>
    <row r="20" spans="1:14" x14ac:dyDescent="0.25">
      <c r="A20" s="7" t="s">
        <v>94</v>
      </c>
      <c r="B20" s="7">
        <v>1256</v>
      </c>
      <c r="C20" s="8">
        <v>3685971.16</v>
      </c>
      <c r="D20" s="8"/>
      <c r="E20" s="8"/>
      <c r="F20" s="8"/>
      <c r="G20" s="8"/>
      <c r="H20" s="8"/>
      <c r="I20" s="8"/>
      <c r="J20" s="8"/>
      <c r="K20" s="8"/>
      <c r="L20" s="8"/>
      <c r="M20" s="8">
        <v>2582108.9500000002</v>
      </c>
      <c r="N20" s="9">
        <f t="shared" si="0"/>
        <v>6268080.1100000003</v>
      </c>
    </row>
    <row r="21" spans="1:14" x14ac:dyDescent="0.25">
      <c r="A21" s="7" t="s">
        <v>95</v>
      </c>
      <c r="B21" s="7">
        <v>1270</v>
      </c>
      <c r="C21" s="8"/>
      <c r="D21" s="8"/>
      <c r="E21" s="8">
        <v>1367933.51</v>
      </c>
      <c r="F21" s="8"/>
      <c r="G21" s="8">
        <v>229561.37</v>
      </c>
      <c r="H21" s="8">
        <v>332623</v>
      </c>
      <c r="I21" s="8"/>
      <c r="J21" s="8"/>
      <c r="K21" s="8">
        <v>67029.11</v>
      </c>
      <c r="L21" s="8">
        <v>2305146.06</v>
      </c>
      <c r="M21" s="8"/>
      <c r="N21" s="9">
        <f t="shared" si="0"/>
        <v>4302293.05</v>
      </c>
    </row>
    <row r="22" spans="1:14" x14ac:dyDescent="0.25">
      <c r="A22" s="7" t="s">
        <v>96</v>
      </c>
      <c r="B22" s="7">
        <v>1279</v>
      </c>
      <c r="C22" s="8"/>
      <c r="D22" s="8"/>
      <c r="E22" s="8"/>
      <c r="F22" s="8"/>
      <c r="G22" s="8">
        <v>3030802.29</v>
      </c>
      <c r="H22" s="8">
        <v>135412.29999999999</v>
      </c>
      <c r="I22" s="8"/>
      <c r="J22" s="8"/>
      <c r="K22" s="8"/>
      <c r="L22" s="8"/>
      <c r="M22" s="8"/>
      <c r="N22" s="9">
        <f t="shared" si="0"/>
        <v>3166214.59</v>
      </c>
    </row>
    <row r="23" spans="1:14" x14ac:dyDescent="0.25">
      <c r="A23" s="7" t="s">
        <v>97</v>
      </c>
      <c r="B23" s="7">
        <v>1199</v>
      </c>
      <c r="C23" s="8"/>
      <c r="D23" s="8"/>
      <c r="E23" s="8"/>
      <c r="F23" s="8"/>
      <c r="G23" s="8">
        <v>1420708.49</v>
      </c>
      <c r="H23" s="8"/>
      <c r="I23" s="8"/>
      <c r="J23" s="8"/>
      <c r="K23" s="8"/>
      <c r="L23" s="8"/>
      <c r="M23" s="8"/>
      <c r="N23" s="9">
        <f t="shared" si="0"/>
        <v>1420708.49</v>
      </c>
    </row>
    <row r="24" spans="1:14" x14ac:dyDescent="0.25">
      <c r="A24" s="7" t="s">
        <v>100</v>
      </c>
      <c r="B24" s="7">
        <v>1106</v>
      </c>
      <c r="C24" s="8"/>
      <c r="D24" s="8"/>
      <c r="E24" s="8"/>
      <c r="F24" s="8"/>
      <c r="G24" s="8"/>
      <c r="H24" s="8">
        <v>864.65</v>
      </c>
      <c r="I24" s="8"/>
      <c r="J24" s="8"/>
      <c r="K24" s="8"/>
      <c r="L24" s="8"/>
      <c r="M24" s="8"/>
      <c r="N24" s="9">
        <f t="shared" si="0"/>
        <v>864.65</v>
      </c>
    </row>
    <row r="25" spans="1:14" x14ac:dyDescent="0.25">
      <c r="A25" s="7" t="s">
        <v>100</v>
      </c>
      <c r="B25" s="7">
        <v>1107</v>
      </c>
      <c r="C25" s="8"/>
      <c r="D25" s="8"/>
      <c r="E25" s="8">
        <v>11.97</v>
      </c>
      <c r="F25" s="8">
        <v>101747.77</v>
      </c>
      <c r="G25" s="8"/>
      <c r="H25" s="8">
        <v>399.42</v>
      </c>
      <c r="I25" s="8"/>
      <c r="J25" s="8"/>
      <c r="K25" s="8"/>
      <c r="L25" s="8">
        <v>88.64</v>
      </c>
      <c r="M25" s="8"/>
      <c r="N25" s="9">
        <f t="shared" si="0"/>
        <v>102247.8</v>
      </c>
    </row>
    <row r="26" spans="1:14" x14ac:dyDescent="0.25">
      <c r="A26" s="7" t="s">
        <v>100</v>
      </c>
      <c r="B26" s="7">
        <v>1118</v>
      </c>
      <c r="C26" s="8"/>
      <c r="D26" s="8"/>
      <c r="E26" s="8"/>
      <c r="F26" s="8"/>
      <c r="G26" s="8"/>
      <c r="H26" s="8">
        <v>13178.6</v>
      </c>
      <c r="I26" s="8"/>
      <c r="J26" s="8"/>
      <c r="K26" s="8"/>
      <c r="L26" s="8"/>
      <c r="M26" s="8"/>
      <c r="N26" s="9">
        <f t="shared" si="0"/>
        <v>13178.6</v>
      </c>
    </row>
    <row r="27" spans="1:14" x14ac:dyDescent="0.25">
      <c r="A27" s="7" t="s">
        <v>100</v>
      </c>
      <c r="B27" s="7">
        <v>1279</v>
      </c>
      <c r="C27" s="8"/>
      <c r="D27" s="8"/>
      <c r="E27" s="8"/>
      <c r="F27" s="8"/>
      <c r="G27" s="8">
        <v>397771.19</v>
      </c>
      <c r="H27" s="8"/>
      <c r="I27" s="8"/>
      <c r="J27" s="8"/>
      <c r="K27" s="8"/>
      <c r="L27" s="8"/>
      <c r="M27" s="8"/>
      <c r="N27" s="9">
        <f>SUM(C27:M27)</f>
        <v>397771.19</v>
      </c>
    </row>
    <row r="28" spans="1:14" x14ac:dyDescent="0.25">
      <c r="A28" s="7" t="s">
        <v>100</v>
      </c>
      <c r="B28" s="7">
        <v>1334</v>
      </c>
      <c r="C28" s="8"/>
      <c r="D28" s="8"/>
      <c r="E28" s="8"/>
      <c r="F28" s="8"/>
      <c r="G28" s="8"/>
      <c r="H28" s="8">
        <v>854035.68</v>
      </c>
      <c r="I28" s="8"/>
      <c r="J28" s="8"/>
      <c r="K28" s="8"/>
      <c r="L28" s="8"/>
      <c r="M28" s="8"/>
      <c r="N28" s="9">
        <f>SUM(C28:M28)</f>
        <v>854035.68</v>
      </c>
    </row>
    <row r="29" spans="1:14" x14ac:dyDescent="0.25">
      <c r="A29" s="7" t="s">
        <v>100</v>
      </c>
      <c r="B29" s="7">
        <v>1799</v>
      </c>
      <c r="C29" s="8"/>
      <c r="D29" s="8"/>
      <c r="E29" s="8"/>
      <c r="F29" s="8">
        <v>12074.75</v>
      </c>
      <c r="G29" s="8">
        <v>28.31</v>
      </c>
      <c r="H29" s="8">
        <v>149.78</v>
      </c>
      <c r="I29" s="8"/>
      <c r="J29" s="8"/>
      <c r="K29" s="8"/>
      <c r="L29" s="8"/>
      <c r="M29" s="8"/>
      <c r="N29" s="9">
        <f>SUM(C29:M29)</f>
        <v>12252.84</v>
      </c>
    </row>
    <row r="30" spans="1:14" x14ac:dyDescent="0.25">
      <c r="A30" s="7" t="s">
        <v>100</v>
      </c>
      <c r="B30" s="7">
        <v>2101</v>
      </c>
      <c r="C30" s="8"/>
      <c r="D30" s="8"/>
      <c r="E30" s="8">
        <v>2.4500000000000002</v>
      </c>
      <c r="F30" s="8"/>
      <c r="G30" s="8"/>
      <c r="H30" s="8">
        <v>1404.68</v>
      </c>
      <c r="I30" s="8"/>
      <c r="J30" s="8"/>
      <c r="K30" s="8"/>
      <c r="L30" s="8">
        <v>-14238.18</v>
      </c>
      <c r="M30" s="8"/>
      <c r="N30" s="9">
        <f>SUM(C30:M30)</f>
        <v>-12831.05</v>
      </c>
    </row>
    <row r="31" spans="1:14" x14ac:dyDescent="0.25">
      <c r="A31" s="7" t="s">
        <v>100</v>
      </c>
      <c r="B31" s="7">
        <v>2302</v>
      </c>
      <c r="C31" s="8"/>
      <c r="D31" s="8"/>
      <c r="E31" s="8"/>
      <c r="F31" s="8"/>
      <c r="G31" s="8"/>
      <c r="H31" s="8">
        <v>36.5</v>
      </c>
      <c r="I31" s="8"/>
      <c r="J31" s="8"/>
      <c r="K31" s="8"/>
      <c r="L31" s="8"/>
      <c r="M31" s="8"/>
      <c r="N31" s="9">
        <f>SUM(C31:M31)</f>
        <v>36.5</v>
      </c>
    </row>
    <row r="32" spans="1:14" x14ac:dyDescent="0.25">
      <c r="A32" s="7" t="s">
        <v>98</v>
      </c>
      <c r="B32" s="7">
        <v>1255</v>
      </c>
      <c r="C32" s="8"/>
      <c r="D32" s="8"/>
      <c r="E32" s="8"/>
      <c r="F32" s="8"/>
      <c r="G32" s="8">
        <v>179911.79</v>
      </c>
      <c r="H32" s="8"/>
      <c r="I32" s="8"/>
      <c r="J32" s="8"/>
      <c r="K32" s="8"/>
      <c r="L32" s="8"/>
      <c r="M32" s="8"/>
      <c r="N32" s="9">
        <f t="shared" si="0"/>
        <v>179911.79</v>
      </c>
    </row>
    <row r="33" spans="1:14" x14ac:dyDescent="0.25">
      <c r="A33" s="7" t="s">
        <v>98</v>
      </c>
      <c r="B33" s="7">
        <v>1275</v>
      </c>
      <c r="C33" s="8"/>
      <c r="D33" s="8"/>
      <c r="E33" s="8"/>
      <c r="F33" s="8"/>
      <c r="G33" s="8">
        <v>153000</v>
      </c>
      <c r="H33" s="8"/>
      <c r="I33" s="8"/>
      <c r="J33" s="8"/>
      <c r="K33" s="8"/>
      <c r="L33" s="8"/>
      <c r="M33" s="8"/>
      <c r="N33" s="9">
        <f t="shared" si="0"/>
        <v>153000</v>
      </c>
    </row>
    <row r="34" spans="1:14" x14ac:dyDescent="0.25">
      <c r="A34" s="7" t="s">
        <v>98</v>
      </c>
      <c r="B34" s="7">
        <v>1799</v>
      </c>
      <c r="C34" s="8"/>
      <c r="D34" s="8"/>
      <c r="E34" s="8"/>
      <c r="F34" s="8"/>
      <c r="G34" s="8">
        <v>668517.36</v>
      </c>
      <c r="H34" s="8">
        <v>25594.93</v>
      </c>
      <c r="I34" s="8"/>
      <c r="J34" s="8"/>
      <c r="K34" s="8"/>
      <c r="L34" s="8"/>
      <c r="M34" s="8"/>
      <c r="N34" s="9">
        <f t="shared" si="0"/>
        <v>694112.29</v>
      </c>
    </row>
    <row r="35" spans="1:14" x14ac:dyDescent="0.25">
      <c r="A35" s="7" t="s">
        <v>98</v>
      </c>
      <c r="B35" s="7">
        <v>2300</v>
      </c>
      <c r="C35" s="8"/>
      <c r="D35" s="8"/>
      <c r="E35" s="8"/>
      <c r="F35" s="8"/>
      <c r="G35" s="8">
        <v>6655.27</v>
      </c>
      <c r="H35" s="8"/>
      <c r="I35" s="8"/>
      <c r="J35" s="8"/>
      <c r="K35" s="8"/>
      <c r="L35" s="8"/>
      <c r="M35" s="8"/>
      <c r="N35" s="9">
        <f>SUM(C35:M35)</f>
        <v>6655.27</v>
      </c>
    </row>
    <row r="36" spans="1:14" x14ac:dyDescent="0.25">
      <c r="A36" s="7" t="s">
        <v>110</v>
      </c>
      <c r="B36" s="7">
        <v>2302</v>
      </c>
      <c r="C36" s="8"/>
      <c r="D36" s="8"/>
      <c r="E36" s="8"/>
      <c r="F36" s="8"/>
      <c r="G36" s="8"/>
      <c r="H36" s="8">
        <v>453721.36</v>
      </c>
      <c r="I36" s="8"/>
      <c r="J36" s="8"/>
      <c r="K36" s="8"/>
      <c r="L36" s="8"/>
      <c r="M36" s="8"/>
      <c r="N36" s="9">
        <f>SUM(C36:M36)</f>
        <v>453721.36</v>
      </c>
    </row>
    <row r="37" spans="1:14" x14ac:dyDescent="0.25">
      <c r="A37" s="7" t="s">
        <v>111</v>
      </c>
      <c r="B37" s="7">
        <v>1799</v>
      </c>
      <c r="C37" s="8"/>
      <c r="D37" s="8"/>
      <c r="E37" s="8"/>
      <c r="F37" s="8"/>
      <c r="G37" s="8"/>
      <c r="H37" s="8">
        <v>67919.210000000006</v>
      </c>
      <c r="I37" s="8"/>
      <c r="J37" s="8"/>
      <c r="K37" s="8"/>
      <c r="L37" s="8"/>
      <c r="M37" s="8"/>
      <c r="N37" s="9">
        <f t="shared" si="0"/>
        <v>67919.210000000006</v>
      </c>
    </row>
    <row r="38" spans="1:14" x14ac:dyDescent="0.25">
      <c r="A38" s="7" t="s">
        <v>112</v>
      </c>
      <c r="B38" s="7">
        <v>2322</v>
      </c>
      <c r="C38" s="8"/>
      <c r="D38" s="8"/>
      <c r="E38" s="8"/>
      <c r="F38" s="8"/>
      <c r="G38" s="8">
        <v>5263.06</v>
      </c>
      <c r="H38" s="8"/>
      <c r="I38" s="8"/>
      <c r="J38" s="8"/>
      <c r="K38" s="8"/>
      <c r="L38" s="8"/>
      <c r="M38" s="8"/>
      <c r="N38" s="9">
        <f>SUM(C38:M38)</f>
        <v>5263.06</v>
      </c>
    </row>
    <row r="39" spans="1:14" x14ac:dyDescent="0.25">
      <c r="A39" s="7" t="s">
        <v>113</v>
      </c>
      <c r="B39" s="7">
        <v>2101</v>
      </c>
      <c r="C39" s="8"/>
      <c r="D39" s="8"/>
      <c r="E39" s="8"/>
      <c r="F39" s="8"/>
      <c r="G39" s="8"/>
      <c r="H39" s="8"/>
      <c r="I39" s="8"/>
      <c r="J39" s="8"/>
      <c r="K39" s="8"/>
      <c r="L39" s="8">
        <v>2389.16</v>
      </c>
      <c r="M39" s="8"/>
      <c r="N39" s="9">
        <f t="shared" si="0"/>
        <v>2389.16</v>
      </c>
    </row>
    <row r="40" spans="1:14" x14ac:dyDescent="0.25">
      <c r="A40" s="7" t="s">
        <v>101</v>
      </c>
      <c r="B40" s="7">
        <v>2300</v>
      </c>
      <c r="C40" s="8"/>
      <c r="D40" s="8"/>
      <c r="E40" s="8"/>
      <c r="F40" s="8"/>
      <c r="G40" s="8">
        <v>38.79</v>
      </c>
      <c r="H40" s="8"/>
      <c r="I40" s="8"/>
      <c r="J40" s="8"/>
      <c r="K40" s="8"/>
      <c r="L40" s="8"/>
      <c r="M40" s="8"/>
      <c r="N40" s="9">
        <f t="shared" si="0"/>
        <v>38.79</v>
      </c>
    </row>
    <row r="41" spans="1:14" x14ac:dyDescent="0.25">
      <c r="A41" s="7" t="s">
        <v>102</v>
      </c>
      <c r="B41" s="7">
        <v>1253</v>
      </c>
      <c r="C41" s="8"/>
      <c r="D41" s="8"/>
      <c r="E41" s="8"/>
      <c r="F41" s="8"/>
      <c r="G41" s="8">
        <v>-23425.08</v>
      </c>
      <c r="H41" s="8"/>
      <c r="I41" s="8"/>
      <c r="J41" s="8"/>
      <c r="K41" s="8"/>
      <c r="L41" s="8"/>
      <c r="M41" s="8"/>
      <c r="N41" s="9">
        <f>SUM(C41:M41)</f>
        <v>-23425.08</v>
      </c>
    </row>
    <row r="42" spans="1:14" x14ac:dyDescent="0.25">
      <c r="C42" s="9"/>
      <c r="D42" s="9"/>
      <c r="E42" s="9"/>
      <c r="F42" s="9"/>
      <c r="G42" s="9"/>
      <c r="H42" s="9"/>
      <c r="I42" s="9"/>
      <c r="J42" s="9"/>
      <c r="K42" s="9"/>
      <c r="L42" s="9"/>
      <c r="M42" s="9"/>
      <c r="N42" s="9"/>
    </row>
    <row r="43" spans="1:14" x14ac:dyDescent="0.25">
      <c r="C43" s="9"/>
      <c r="D43" s="9"/>
      <c r="E43" s="9"/>
      <c r="F43" s="9"/>
      <c r="G43" s="9"/>
      <c r="H43" s="9"/>
      <c r="I43" s="9"/>
      <c r="J43" s="9"/>
      <c r="K43" s="9"/>
      <c r="L43" s="9"/>
      <c r="M43" s="9"/>
      <c r="N43" s="9"/>
    </row>
    <row r="44" spans="1:14" x14ac:dyDescent="0.25">
      <c r="B44" s="7" t="s">
        <v>103</v>
      </c>
      <c r="C44" s="7" t="s">
        <v>104</v>
      </c>
    </row>
    <row r="45" spans="1:14" x14ac:dyDescent="0.25">
      <c r="A45" s="10" t="s">
        <v>105</v>
      </c>
      <c r="B45" s="6">
        <v>18</v>
      </c>
      <c r="C45" s="11">
        <f>(C6+C11+F3+F5+F7+F8+G4+G6+G9+G10+G14+G15+G16+G17+G18+H6+L10+M6)/1000000</f>
        <v>257.68022229000002</v>
      </c>
      <c r="D45" t="s">
        <v>106</v>
      </c>
      <c r="E45" s="15">
        <f>C45/C$49</f>
        <v>0.84587886449329686</v>
      </c>
    </row>
    <row r="46" spans="1:14" x14ac:dyDescent="0.25">
      <c r="A46" s="12" t="s">
        <v>107</v>
      </c>
      <c r="B46" s="6">
        <v>14</v>
      </c>
      <c r="C46" s="11">
        <f>(C14+C15+C20+D13+E21+G22+G23+H19+H4+L21+M20+M13+M12+G13)/1000000</f>
        <v>39.644043189999991</v>
      </c>
      <c r="D46" t="s">
        <v>106</v>
      </c>
      <c r="E46" s="15">
        <f>C46/C$49</f>
        <v>0.13013826959424271</v>
      </c>
    </row>
    <row r="47" spans="1:14" x14ac:dyDescent="0.25">
      <c r="A47" s="13" t="s">
        <v>108</v>
      </c>
      <c r="B47" s="6">
        <v>18</v>
      </c>
      <c r="C47" s="11">
        <f>(C4+D11+E10+E14+F25+G27+G32+G33+G34+H36+H28+H22+H21+G21+G11+H11+I11+J10)/1000000</f>
        <v>7.0673254600000002</v>
      </c>
      <c r="D47" t="s">
        <v>106</v>
      </c>
      <c r="E47" s="15">
        <f>C47/C$49</f>
        <v>2.3199689840307017E-2</v>
      </c>
    </row>
    <row r="48" spans="1:14" x14ac:dyDescent="0.25">
      <c r="A48" s="14" t="s">
        <v>109</v>
      </c>
      <c r="B48" s="6">
        <v>29</v>
      </c>
      <c r="C48" s="11">
        <f>(C12+E6+E7+E25+E30+F29+G29+G35+G38+G40+G41+H37+H34+H31+H30+H29+H26+H25+H24+G19+H15+H10+H7+L6+L7+K21+L25+L30+L39)/1000000</f>
        <v>0.23857906000000004</v>
      </c>
      <c r="D48" t="s">
        <v>106</v>
      </c>
      <c r="E48" s="15">
        <f>C48/C$49</f>
        <v>7.8317607215332619E-4</v>
      </c>
    </row>
    <row r="49" spans="3:3" x14ac:dyDescent="0.25">
      <c r="C49" s="11">
        <f>SUM(C45:C48)</f>
        <v>304.63017000000002</v>
      </c>
    </row>
  </sheetData>
  <conditionalFormatting sqref="C3:M41">
    <cfRule type="cellIs" dxfId="11" priority="1" operator="equal">
      <formula>0</formula>
    </cfRule>
    <cfRule type="cellIs" dxfId="10" priority="2" operator="lessThanOrEqual">
      <formula>100000</formula>
    </cfRule>
    <cfRule type="cellIs" dxfId="9" priority="3" operator="between">
      <formula>100000</formula>
      <formula>1000000</formula>
    </cfRule>
    <cfRule type="cellIs" dxfId="8" priority="4" operator="between">
      <formula>1000000</formula>
      <formula>5000000</formula>
    </cfRule>
    <cfRule type="cellIs" dxfId="7" priority="5" operator="greaterThanOrEqual">
      <formula>5000000</formula>
    </cfRule>
  </conditionalFormatting>
  <pageMargins left="0.7" right="0.7" top="0.75" bottom="0.75" header="0.3" footer="0.3"/>
  <customProperties>
    <customPr name="_pios_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3:S19"/>
  <sheetViews>
    <sheetView topLeftCell="A4" workbookViewId="0">
      <selection activeCell="C31" sqref="C31"/>
    </sheetView>
  </sheetViews>
  <sheetFormatPr defaultRowHeight="15" x14ac:dyDescent="0.25"/>
  <cols>
    <col min="1" max="1" width="22.140625" customWidth="1"/>
    <col min="2" max="2" width="22.5703125" bestFit="1" customWidth="1"/>
    <col min="3" max="3" width="14.42578125" customWidth="1"/>
    <col min="4" max="4" width="15.42578125" customWidth="1"/>
    <col min="5" max="5" width="18.140625" customWidth="1"/>
    <col min="6" max="6" width="14.42578125" customWidth="1"/>
    <col min="7" max="7" width="15.42578125" customWidth="1"/>
    <col min="8" max="8" width="16.140625" customWidth="1"/>
    <col min="9" max="9" width="14.42578125" customWidth="1"/>
    <col min="10" max="10" width="15.42578125" customWidth="1"/>
    <col min="11" max="11" width="26.42578125" customWidth="1"/>
    <col min="12" max="12" width="14.42578125" customWidth="1"/>
    <col min="13" max="13" width="15.42578125" customWidth="1"/>
    <col min="14" max="14" width="9.85546875" customWidth="1"/>
    <col min="15" max="15" width="14.42578125" customWidth="1"/>
    <col min="16" max="16" width="15.42578125" customWidth="1"/>
    <col min="17" max="17" width="14.85546875" customWidth="1"/>
    <col min="18" max="18" width="19.42578125" customWidth="1"/>
    <col min="19" max="19" width="20.42578125" customWidth="1"/>
  </cols>
  <sheetData>
    <row r="3" spans="1:19" x14ac:dyDescent="0.25">
      <c r="B3" s="187" t="s">
        <v>1212</v>
      </c>
    </row>
    <row r="4" spans="1:19" x14ac:dyDescent="0.25">
      <c r="B4" t="s">
        <v>120</v>
      </c>
      <c r="E4" t="s">
        <v>39</v>
      </c>
      <c r="H4" t="s">
        <v>49</v>
      </c>
      <c r="K4" t="s">
        <v>151</v>
      </c>
      <c r="N4" t="s">
        <v>1210</v>
      </c>
      <c r="Q4" t="s">
        <v>1213</v>
      </c>
      <c r="R4" t="s">
        <v>1215</v>
      </c>
      <c r="S4" t="s">
        <v>1220</v>
      </c>
    </row>
    <row r="5" spans="1:19" x14ac:dyDescent="0.25">
      <c r="A5" s="187" t="s">
        <v>1209</v>
      </c>
      <c r="B5" t="s">
        <v>1214</v>
      </c>
      <c r="C5" t="s">
        <v>1216</v>
      </c>
      <c r="D5" t="s">
        <v>1221</v>
      </c>
      <c r="E5" t="s">
        <v>1214</v>
      </c>
      <c r="F5" t="s">
        <v>1216</v>
      </c>
      <c r="G5" t="s">
        <v>1221</v>
      </c>
      <c r="H5" t="s">
        <v>1214</v>
      </c>
      <c r="I5" t="s">
        <v>1216</v>
      </c>
      <c r="J5" t="s">
        <v>1221</v>
      </c>
      <c r="K5" t="s">
        <v>1214</v>
      </c>
      <c r="L5" t="s">
        <v>1216</v>
      </c>
      <c r="M5" t="s">
        <v>1221</v>
      </c>
      <c r="N5" t="s">
        <v>1214</v>
      </c>
      <c r="O5" t="s">
        <v>1216</v>
      </c>
      <c r="P5" t="s">
        <v>1221</v>
      </c>
    </row>
    <row r="6" spans="1:19" x14ac:dyDescent="0.25">
      <c r="A6" s="188"/>
      <c r="B6" s="189"/>
      <c r="C6" s="189"/>
      <c r="D6" s="189"/>
      <c r="E6" s="189"/>
      <c r="F6" s="189"/>
      <c r="G6" s="189"/>
      <c r="H6" s="189"/>
      <c r="I6" s="189"/>
      <c r="J6" s="189"/>
      <c r="K6" s="189"/>
      <c r="L6" s="189">
        <v>42.9</v>
      </c>
      <c r="M6" s="189">
        <v>42.9</v>
      </c>
      <c r="N6" s="189"/>
      <c r="O6" s="189"/>
      <c r="P6" s="189"/>
      <c r="Q6" s="189"/>
      <c r="R6" s="189">
        <v>42.9</v>
      </c>
      <c r="S6" s="189">
        <v>42.9</v>
      </c>
    </row>
    <row r="7" spans="1:19" x14ac:dyDescent="0.25">
      <c r="A7" s="188" t="s">
        <v>39</v>
      </c>
      <c r="B7" s="189"/>
      <c r="C7" s="189">
        <v>45.910901602273462</v>
      </c>
      <c r="D7" s="189">
        <v>20.175227313958857</v>
      </c>
      <c r="E7" s="189"/>
      <c r="F7" s="189"/>
      <c r="G7" s="189">
        <v>120.16478768529772</v>
      </c>
      <c r="H7" s="189">
        <v>9.9999999999999995E-7</v>
      </c>
      <c r="I7" s="189">
        <v>17.907204838055289</v>
      </c>
      <c r="J7" s="189">
        <v>10.954580574393734</v>
      </c>
      <c r="K7" s="189"/>
      <c r="L7" s="189">
        <v>2.0401657605969801</v>
      </c>
      <c r="M7" s="189">
        <v>0.4</v>
      </c>
      <c r="N7" s="189"/>
      <c r="O7" s="189"/>
      <c r="P7" s="189"/>
      <c r="Q7" s="189">
        <v>9.9999999999999995E-7</v>
      </c>
      <c r="R7" s="189">
        <v>65.858272200925725</v>
      </c>
      <c r="S7" s="189">
        <v>151.69459557365033</v>
      </c>
    </row>
    <row r="8" spans="1:19" x14ac:dyDescent="0.25">
      <c r="A8" s="188" t="s">
        <v>119</v>
      </c>
      <c r="B8" s="189">
        <v>24.24858447909304</v>
      </c>
      <c r="C8" s="189">
        <v>7.7147080280887348</v>
      </c>
      <c r="D8" s="189">
        <v>17.853292507181774</v>
      </c>
      <c r="E8" s="189"/>
      <c r="F8" s="189"/>
      <c r="G8" s="189">
        <v>1.4890778469660317</v>
      </c>
      <c r="H8" s="189">
        <v>24.501004501995808</v>
      </c>
      <c r="I8" s="189">
        <v>-1.9477123524072486</v>
      </c>
      <c r="J8" s="189">
        <v>17.062483342703317</v>
      </c>
      <c r="K8" s="189">
        <v>0.31000099999999997</v>
      </c>
      <c r="L8" s="189">
        <v>0.42501124595505618</v>
      </c>
      <c r="M8" s="189">
        <v>0.43501224595505616</v>
      </c>
      <c r="N8" s="189"/>
      <c r="O8" s="189"/>
      <c r="P8" s="189"/>
      <c r="Q8" s="189">
        <v>49.059589981088848</v>
      </c>
      <c r="R8" s="189">
        <v>6.1920069216365423</v>
      </c>
      <c r="S8" s="189">
        <v>36.839865942806178</v>
      </c>
    </row>
    <row r="9" spans="1:19" x14ac:dyDescent="0.25">
      <c r="A9" s="188" t="s">
        <v>36</v>
      </c>
      <c r="B9" s="189">
        <v>147.09955527417495</v>
      </c>
      <c r="C9" s="189">
        <v>374.28385516092823</v>
      </c>
      <c r="D9" s="189">
        <v>398.52523405898751</v>
      </c>
      <c r="E9" s="189"/>
      <c r="F9" s="189">
        <v>0.56000000000000005</v>
      </c>
      <c r="G9" s="189">
        <v>73.059159189706335</v>
      </c>
      <c r="H9" s="189">
        <v>31.731309766549433</v>
      </c>
      <c r="I9" s="189">
        <v>72.772863791378242</v>
      </c>
      <c r="J9" s="189">
        <v>88.991627887927663</v>
      </c>
      <c r="K9" s="189">
        <v>46.056654765211704</v>
      </c>
      <c r="L9" s="189">
        <v>2.4470056473266064</v>
      </c>
      <c r="M9" s="189">
        <v>41.76842400598094</v>
      </c>
      <c r="N9" s="189"/>
      <c r="O9" s="189"/>
      <c r="P9" s="189"/>
      <c r="Q9" s="189">
        <v>224.88751980593608</v>
      </c>
      <c r="R9" s="189">
        <v>450.06372459963308</v>
      </c>
      <c r="S9" s="189">
        <v>602.34444514260247</v>
      </c>
    </row>
    <row r="10" spans="1:19" x14ac:dyDescent="0.25">
      <c r="A10" s="188" t="s">
        <v>1211</v>
      </c>
      <c r="B10" s="189">
        <v>171.34813975326799</v>
      </c>
      <c r="C10" s="189">
        <v>427.90946479129042</v>
      </c>
      <c r="D10" s="189">
        <v>436.55375388012817</v>
      </c>
      <c r="E10" s="189"/>
      <c r="F10" s="189">
        <v>0.56000000000000005</v>
      </c>
      <c r="G10" s="189">
        <v>194.7130247219701</v>
      </c>
      <c r="H10" s="189">
        <v>56.232315268545243</v>
      </c>
      <c r="I10" s="189">
        <v>88.732356277026284</v>
      </c>
      <c r="J10" s="189">
        <v>117.00869180502471</v>
      </c>
      <c r="K10" s="189">
        <v>46.366655765211704</v>
      </c>
      <c r="L10" s="189">
        <v>47.812182653878637</v>
      </c>
      <c r="M10" s="189">
        <v>85.503436251935995</v>
      </c>
      <c r="N10" s="189"/>
      <c r="O10" s="189"/>
      <c r="P10" s="189"/>
      <c r="Q10" s="189">
        <v>273.94711078702494</v>
      </c>
      <c r="R10" s="189">
        <v>565.0140037221953</v>
      </c>
      <c r="S10" s="189">
        <v>833.77890665905898</v>
      </c>
    </row>
    <row r="14" spans="1:19" x14ac:dyDescent="0.25">
      <c r="C14" t="s">
        <v>22</v>
      </c>
      <c r="D14" t="s">
        <v>1202</v>
      </c>
      <c r="E14" t="s">
        <v>1201</v>
      </c>
      <c r="F14" t="s">
        <v>181</v>
      </c>
    </row>
    <row r="15" spans="1:19" x14ac:dyDescent="0.25">
      <c r="B15" t="s">
        <v>36</v>
      </c>
      <c r="C15" s="178">
        <f>GETPIVOTDATA("Sum of Non-SD",$A$3,"Current P&amp;L Line (Auto)","Trade Allowances","New P&amp;L Line","Distribution Allowances")+GETPIVOTDATA("Sum of SD",$A$3,"Current P&amp;L Line (Auto)","Trade Allowances","New P&amp;L Line","Distribution Allowances")</f>
        <v>521.3834104351032</v>
      </c>
      <c r="D15" s="178">
        <f>GETPIVOTDATA("Sum of SD",$A$3,"Current P&amp;L Line (Auto)","Trade Allowances","New P&amp;L Line","Price Allowances")+GETPIVOTDATA("Sum of Non-SD",$A$3,"Current P&amp;L Line (Auto)","Trade Allowances","New P&amp;L Line","Price Allowances")</f>
        <v>104.50417355792767</v>
      </c>
      <c r="E15" s="178">
        <f>GETPIVOTDATA("Sum of SD",$A$3,"Current P&amp;L Line (Auto)","Trade Allowances","New P&amp;L Line","Sales Adjustments / Returns")+GETPIVOTDATA("Sum of Non-SD",$A$3,"Current P&amp;L Line (Auto)","Trade Allowances","New P&amp;L Line","Sales Adjustments / Returns")</f>
        <v>48.503660412538309</v>
      </c>
      <c r="F15" s="178">
        <f>GETPIVOTDATA("Sum of New MA",$A$3,"Current P&amp;L Line (Auto)","Trade Allowances","New P&amp;L Line","Sales Adjustments / Returns")+GETPIVOTDATA("Sum of Non-SD",$A$3,"Current P&amp;L Line (Auto)","Trade Allowances","New P&amp;L Line","Marketing Allowances")</f>
        <v>42.328424005980942</v>
      </c>
      <c r="G15" s="178">
        <f>SUM(C15:F15)</f>
        <v>716.71966841155017</v>
      </c>
    </row>
    <row r="16" spans="1:19" x14ac:dyDescent="0.25">
      <c r="B16" t="s">
        <v>1217</v>
      </c>
      <c r="C16" s="178">
        <f>GETPIVOTDATA("Sum of SD",$A$3,"Current P&amp;L Line (Auto)","Other Sales Allowances","New P&amp;L Line","Distribution Allowances")+GETPIVOTDATA("Sum of Non-SD",$A$3,"Current P&amp;L Line (Auto)","Other Sales Allowances","New P&amp;L Line","Distribution Allowances")</f>
        <v>31.963292507181777</v>
      </c>
      <c r="D16" s="178">
        <f>GETPIVOTDATA("Sum of SD",$A$3,"Current P&amp;L Line (Auto)","Other Sales Allowances","New P&amp;L Line","Price Allowances")+GETPIVOTDATA("Sum of Non-SD",$A$3,"Current P&amp;L Line (Auto)","Other Sales Allowances","New P&amp;L Line","Price Allowances")</f>
        <v>22.553292149588561</v>
      </c>
      <c r="E16" s="178">
        <f>GETPIVOTDATA("Sum of SD",$A$3,"Current P&amp;L Line (Auto)","Other Sales Allowances","New P&amp;L Line","Sales Adjustments / Returns")+GETPIVOTDATA("Sum of Non-SD",$A$3,"Current P&amp;L Line (Auto)","Other Sales Allowances","New P&amp;L Line","Sales Adjustments / Returns")</f>
        <v>0.7350122459550561</v>
      </c>
      <c r="F16" s="178">
        <f>GETPIVOTDATA("Sum of New MA",$A$3,"Current P&amp;L Line (Auto)","Other Sales Allowances","New P&amp;L Line","Sales Adjustments / Returns")</f>
        <v>0.43501224595505616</v>
      </c>
      <c r="G16" s="178">
        <f t="shared" ref="G16:G18" si="0">SUM(C16:F16)</f>
        <v>55.686609148680446</v>
      </c>
    </row>
    <row r="17" spans="2:7" x14ac:dyDescent="0.25">
      <c r="B17" t="s">
        <v>39</v>
      </c>
      <c r="C17" s="178">
        <f>GETPIVOTDATA("Sum of Non-SD",$A$3,"Current P&amp;L Line (Auto)","Marketing Allowances","New P&amp;L Line","Distribution Allowances")</f>
        <v>45.910901602273462</v>
      </c>
      <c r="D17" s="178">
        <f>GETPIVOTDATA("Sum of SD",$A$3,"Current P&amp;L Line (Auto)","Marketing Allowances","New P&amp;L Line","Price Allowances")+GETPIVOTDATA("Sum of Non-SD",$A$3,"Current P&amp;L Line (Auto)","Marketing Allowances","New P&amp;L Line","Price Allowances")</f>
        <v>17.90720583805529</v>
      </c>
      <c r="E17" s="178">
        <f>GETPIVOTDATA("Sum of SD",$A$3,"Current P&amp;L Line (Auto)","Marketing Allowances","New P&amp;L Line","Sales Adjustments / Returns")+GETPIVOTDATA("Sum of Non-SD",$A$3,"Current P&amp;L Line (Auto)","Marketing Allowances","New P&amp;L Line","Sales Adjustments / Returns")</f>
        <v>2.0401657605969801</v>
      </c>
      <c r="F17" s="190">
        <f>F19-F15-F16</f>
        <v>814.14172679907438</v>
      </c>
      <c r="G17" s="178">
        <v>880</v>
      </c>
    </row>
    <row r="18" spans="2:7" x14ac:dyDescent="0.25">
      <c r="B18" t="s">
        <v>1218</v>
      </c>
      <c r="C18" s="178"/>
      <c r="D18" s="178"/>
      <c r="E18" s="178">
        <f>GETPIVOTDATA("Sum of Non-SD",$A$3,"Current P&amp;L Line (Auto)","","New P&amp;L Line","Sales Adjustments / Returns")</f>
        <v>42.9</v>
      </c>
      <c r="F18" s="178"/>
      <c r="G18" s="178">
        <f t="shared" si="0"/>
        <v>42.9</v>
      </c>
    </row>
    <row r="19" spans="2:7" x14ac:dyDescent="0.25">
      <c r="C19" s="178">
        <f>SUM(C15:C18)</f>
        <v>599.25760454455849</v>
      </c>
      <c r="D19" s="178">
        <f t="shared" ref="D19:E19" si="1">SUM(D15:D18)</f>
        <v>144.96467154557152</v>
      </c>
      <c r="E19" s="178">
        <f t="shared" si="1"/>
        <v>94.17883841909034</v>
      </c>
      <c r="F19" s="190">
        <f>G19-SUM(C19:E19)</f>
        <v>856.90516305101039</v>
      </c>
      <c r="G19" s="178">
        <f>SUM(G15:G18)</f>
        <v>1695.3062775602307</v>
      </c>
    </row>
  </sheetData>
  <pageMargins left="0.7" right="0.7" top="0.75" bottom="0.75" header="0.3" footer="0.3"/>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3:U21"/>
  <sheetViews>
    <sheetView showGridLines="0" workbookViewId="0">
      <selection activeCell="O5" sqref="O5"/>
    </sheetView>
  </sheetViews>
  <sheetFormatPr defaultRowHeight="15" outlineLevelRow="1" x14ac:dyDescent="0.25"/>
  <cols>
    <col min="1" max="3" width="9.140625" style="175"/>
    <col min="4" max="4" width="11.5703125" bestFit="1" customWidth="1"/>
    <col min="5" max="5" width="2.42578125" style="175" customWidth="1"/>
    <col min="6" max="6" width="10" customWidth="1"/>
    <col min="7" max="7" width="2.42578125" style="175" customWidth="1"/>
    <col min="8" max="9" width="10" customWidth="1"/>
    <col min="10" max="10" width="2.42578125" style="175" customWidth="1"/>
    <col min="11" max="12" width="10" customWidth="1"/>
    <col min="13" max="13" width="2.42578125" style="175" customWidth="1"/>
    <col min="14" max="15" width="10" customWidth="1"/>
    <col min="16" max="20" width="9.140625" style="175"/>
  </cols>
  <sheetData>
    <row r="3" spans="1:21" s="180" customFormat="1" ht="30" x14ac:dyDescent="0.25">
      <c r="A3" s="179"/>
      <c r="B3" s="179"/>
      <c r="C3" s="179"/>
      <c r="D3" s="185"/>
      <c r="E3" s="179"/>
      <c r="F3" s="184" t="s">
        <v>80</v>
      </c>
      <c r="G3" s="179"/>
      <c r="H3" s="183" t="s">
        <v>10</v>
      </c>
      <c r="I3" s="182" t="s">
        <v>1208</v>
      </c>
      <c r="J3" s="179"/>
      <c r="K3" s="183" t="s">
        <v>1207</v>
      </c>
      <c r="L3" s="182" t="s">
        <v>1206</v>
      </c>
      <c r="M3" s="179"/>
      <c r="N3" s="183" t="s">
        <v>1205</v>
      </c>
      <c r="O3" s="182" t="s">
        <v>1204</v>
      </c>
      <c r="P3" s="179"/>
      <c r="Q3" s="179"/>
      <c r="R3" s="179"/>
      <c r="S3" s="179"/>
      <c r="T3" s="179"/>
      <c r="U3" s="181"/>
    </row>
    <row r="4" spans="1:21" s="77" customFormat="1" x14ac:dyDescent="0.25">
      <c r="A4" s="179"/>
      <c r="B4" s="179"/>
      <c r="C4" s="179"/>
      <c r="E4" s="179"/>
      <c r="G4" s="179"/>
      <c r="J4" s="179"/>
      <c r="M4" s="179"/>
      <c r="P4" s="179"/>
      <c r="Q4" s="179"/>
      <c r="R4" s="179"/>
      <c r="S4" s="179"/>
      <c r="T4" s="179"/>
    </row>
    <row r="5" spans="1:21" s="176" customFormat="1" x14ac:dyDescent="0.25">
      <c r="A5" s="175"/>
      <c r="B5" s="175"/>
      <c r="C5" s="175"/>
      <c r="D5" s="176" t="s">
        <v>171</v>
      </c>
      <c r="E5" s="175"/>
      <c r="F5" s="176">
        <v>630</v>
      </c>
      <c r="G5" s="175"/>
      <c r="H5" s="176">
        <v>180</v>
      </c>
      <c r="I5" s="176">
        <v>450</v>
      </c>
      <c r="J5" s="175"/>
      <c r="K5" s="176">
        <f>330+180</f>
        <v>510</v>
      </c>
      <c r="L5" s="176">
        <v>120</v>
      </c>
      <c r="M5" s="175"/>
      <c r="N5" s="176">
        <f>510+100</f>
        <v>610</v>
      </c>
      <c r="O5" s="176">
        <v>20</v>
      </c>
      <c r="P5" s="175"/>
      <c r="Q5" s="175"/>
      <c r="R5" s="175"/>
      <c r="S5" s="175"/>
      <c r="T5" s="175"/>
    </row>
    <row r="7" spans="1:21" hidden="1" outlineLevel="1" x14ac:dyDescent="0.25">
      <c r="D7" t="s">
        <v>1203</v>
      </c>
      <c r="F7">
        <v>144</v>
      </c>
      <c r="H7" s="178">
        <f>56</f>
        <v>56</v>
      </c>
      <c r="I7" s="178">
        <v>88</v>
      </c>
      <c r="K7" s="177">
        <f>40+H7</f>
        <v>96</v>
      </c>
      <c r="L7">
        <f>88-40</f>
        <v>48</v>
      </c>
      <c r="N7">
        <v>136</v>
      </c>
      <c r="O7">
        <v>8</v>
      </c>
    </row>
    <row r="8" spans="1:21" hidden="1" outlineLevel="1" x14ac:dyDescent="0.25">
      <c r="D8" t="s">
        <v>1199</v>
      </c>
      <c r="F8">
        <v>20</v>
      </c>
      <c r="H8">
        <v>5</v>
      </c>
      <c r="I8">
        <v>15</v>
      </c>
      <c r="K8">
        <v>15</v>
      </c>
      <c r="L8">
        <v>5</v>
      </c>
      <c r="N8">
        <v>18</v>
      </c>
      <c r="O8">
        <v>2</v>
      </c>
    </row>
    <row r="9" spans="1:21" hidden="1" outlineLevel="1" x14ac:dyDescent="0.25"/>
    <row r="10" spans="1:21" s="176" customFormat="1" collapsed="1" x14ac:dyDescent="0.25">
      <c r="A10" s="175"/>
      <c r="B10" s="175"/>
      <c r="C10" s="175"/>
      <c r="D10" s="176" t="s">
        <v>1202</v>
      </c>
      <c r="E10" s="175"/>
      <c r="F10" s="176">
        <f>SUM(F7:F8)</f>
        <v>164</v>
      </c>
      <c r="G10" s="175"/>
      <c r="H10" s="176">
        <f>SUM(H7:H8)</f>
        <v>61</v>
      </c>
      <c r="I10" s="176">
        <f>SUM(I7:I8)</f>
        <v>103</v>
      </c>
      <c r="J10" s="175"/>
      <c r="K10" s="176">
        <f>SUM(K7:K8)</f>
        <v>111</v>
      </c>
      <c r="L10" s="176">
        <f>SUM(L7:L8)</f>
        <v>53</v>
      </c>
      <c r="M10" s="175"/>
      <c r="N10" s="176">
        <f>SUM(N7:N8)</f>
        <v>154</v>
      </c>
      <c r="O10" s="176">
        <f>SUM(O7:O8)</f>
        <v>10</v>
      </c>
      <c r="P10" s="175"/>
      <c r="Q10" s="175"/>
      <c r="R10" s="175"/>
      <c r="S10" s="175"/>
      <c r="T10" s="175"/>
    </row>
    <row r="12" spans="1:21" hidden="1" outlineLevel="1" x14ac:dyDescent="0.25">
      <c r="D12" t="s">
        <v>1201</v>
      </c>
      <c r="F12">
        <v>95</v>
      </c>
      <c r="H12">
        <v>46</v>
      </c>
      <c r="I12">
        <v>47</v>
      </c>
      <c r="K12">
        <v>51</v>
      </c>
      <c r="L12">
        <f>F12-K12</f>
        <v>44</v>
      </c>
      <c r="N12">
        <v>95</v>
      </c>
      <c r="O12">
        <f>F12-N12</f>
        <v>0</v>
      </c>
    </row>
    <row r="13" spans="1:21" hidden="1" outlineLevel="1" x14ac:dyDescent="0.25">
      <c r="D13" t="s">
        <v>1199</v>
      </c>
    </row>
    <row r="14" spans="1:21" hidden="1" outlineLevel="1" x14ac:dyDescent="0.25"/>
    <row r="15" spans="1:21" s="176" customFormat="1" collapsed="1" x14ac:dyDescent="0.25">
      <c r="A15" s="175"/>
      <c r="B15" s="175"/>
      <c r="C15" s="175"/>
      <c r="D15" s="176" t="s">
        <v>1201</v>
      </c>
      <c r="E15" s="175"/>
      <c r="F15" s="176">
        <f>SUM(F12:F13)</f>
        <v>95</v>
      </c>
      <c r="G15" s="175"/>
      <c r="H15" s="176">
        <f>SUM(H12:H13)</f>
        <v>46</v>
      </c>
      <c r="I15" s="176">
        <f>SUM(I12:I13)</f>
        <v>47</v>
      </c>
      <c r="J15" s="175"/>
      <c r="K15" s="176">
        <f>SUM(K12:K13)</f>
        <v>51</v>
      </c>
      <c r="L15" s="176">
        <f>SUM(L12:L13)</f>
        <v>44</v>
      </c>
      <c r="M15" s="175"/>
      <c r="N15" s="176">
        <f>SUM(N12:N13)</f>
        <v>95</v>
      </c>
      <c r="O15" s="176">
        <f>SUM(O12:O13)</f>
        <v>0</v>
      </c>
      <c r="P15" s="175"/>
      <c r="Q15" s="175"/>
      <c r="R15" s="175"/>
      <c r="S15" s="175"/>
      <c r="T15" s="175"/>
    </row>
    <row r="16" spans="1:21" x14ac:dyDescent="0.25">
      <c r="E16" s="186" t="s">
        <v>1200</v>
      </c>
    </row>
    <row r="17" spans="1:20" ht="11.25" customHeight="1" x14ac:dyDescent="0.25"/>
    <row r="18" spans="1:20" hidden="1" outlineLevel="1" x14ac:dyDescent="0.25">
      <c r="D18" t="s">
        <v>181</v>
      </c>
      <c r="F18">
        <v>910</v>
      </c>
    </row>
    <row r="19" spans="1:20" hidden="1" outlineLevel="1" x14ac:dyDescent="0.25">
      <c r="D19" t="s">
        <v>1199</v>
      </c>
    </row>
    <row r="20" spans="1:20" hidden="1" outlineLevel="1" x14ac:dyDescent="0.25"/>
    <row r="21" spans="1:20" s="176" customFormat="1" collapsed="1" x14ac:dyDescent="0.25">
      <c r="A21" s="175"/>
      <c r="B21" s="175"/>
      <c r="C21" s="175"/>
      <c r="D21" s="176" t="str">
        <f>D18</f>
        <v>Marketing</v>
      </c>
      <c r="E21" s="175"/>
      <c r="F21" s="176">
        <f>SUM(F18:F19)</f>
        <v>910</v>
      </c>
      <c r="G21" s="175"/>
      <c r="H21" s="176">
        <f>SUM(H18:H19)</f>
        <v>0</v>
      </c>
      <c r="I21" s="176">
        <f>SUM(I18:I19)</f>
        <v>0</v>
      </c>
      <c r="J21" s="175"/>
      <c r="K21" s="176">
        <f>SUM(K18:K19)</f>
        <v>0</v>
      </c>
      <c r="L21" s="176">
        <f>SUM(L18:L19)</f>
        <v>0</v>
      </c>
      <c r="M21" s="175"/>
      <c r="N21" s="176">
        <f>SUM(N18:N19)</f>
        <v>0</v>
      </c>
      <c r="O21" s="176">
        <f>SUM(O18:O19)</f>
        <v>0</v>
      </c>
      <c r="P21" s="175"/>
      <c r="Q21" s="175"/>
      <c r="R21" s="175"/>
      <c r="S21" s="175"/>
      <c r="T21" s="175"/>
    </row>
  </sheetData>
  <pageMargins left="0.7" right="0.7" top="0.75" bottom="0.75" header="0.3" footer="0.3"/>
  <pageSetup paperSize="9" orientation="portrait" horizontalDpi="200" verticalDpi="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40E41D-C6C1-40C8-AD9A-F6EC5EF7470C}">
  <ds:schemaRefs>
    <ds:schemaRef ds:uri="http://purl.org/dc/elements/1.1/"/>
    <ds:schemaRef ds:uri="http://schemas.microsoft.com/office/2006/metadata/properties"/>
    <ds:schemaRef ds:uri="033d2065-0f41-4cc7-b07b-20f12998cf87"/>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da913ec1-a210-4093-97d6-83558d020e4c"/>
    <ds:schemaRef ds:uri="http://www.w3.org/XML/1998/namespace"/>
  </ds:schemaRefs>
</ds:datastoreItem>
</file>

<file path=customXml/itemProps2.xml><?xml version="1.0" encoding="utf-8"?>
<ds:datastoreItem xmlns:ds="http://schemas.openxmlformats.org/officeDocument/2006/customXml" ds:itemID="{6A65B7CE-AE3C-4076-BD21-BB96F0EA2048}">
  <ds:schemaRefs>
    <ds:schemaRef ds:uri="http://schemas.microsoft.com/sharepoint/v3/contenttype/forms"/>
  </ds:schemaRefs>
</ds:datastoreItem>
</file>

<file path=customXml/itemProps3.xml><?xml version="1.0" encoding="utf-8"?>
<ds:datastoreItem xmlns:ds="http://schemas.openxmlformats.org/officeDocument/2006/customXml" ds:itemID="{5669DF30-428A-4939-B5D9-562EA41BC5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Version</vt:lpstr>
      <vt:lpstr>Master List</vt:lpstr>
      <vt:lpstr>JTIO and Mat Groups</vt:lpstr>
      <vt:lpstr>Allowances Examples</vt:lpstr>
      <vt:lpstr>SD - 2017</vt:lpstr>
      <vt:lpstr>Pivot Rec</vt:lpstr>
      <vt:lpstr>SD, SKU Detail</vt:lpstr>
      <vt:lpstr>'Allowances Examples'!Print_Area</vt:lpstr>
      <vt:lpstr>'JTIO and Mat Groups'!Print_Area</vt:lpstr>
    </vt:vector>
  </TitlesOfParts>
  <Company>JT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Goodier, Mark</dc:creator>
  <cp:lastModifiedBy>Matveeva, Anna</cp:lastModifiedBy>
  <dcterms:created xsi:type="dcterms:W3CDTF">2018-07-16T09:12:08Z</dcterms:created>
  <dcterms:modified xsi:type="dcterms:W3CDTF">2020-01-24T06:31:38Z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ofWorkbookId">
    <vt:lpwstr>66043186-0482-4b78-84b0-05336e3c9aff</vt:lpwstr>
  </property>
  <property fmtid="{D5CDD505-2E9C-101B-9397-08002B2CF9AE}" pid="4" name="Order">
    <vt:r8>1282900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ies>
</file>